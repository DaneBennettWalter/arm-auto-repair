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Executive Summary" sheetId="1" state="visible" r:id="rId3"/>
    <sheet name="Renovation Budget Detail" sheetId="2" state="visible" r:id="rId4"/>
    <sheet name="Current Operations" sheetId="3" state="visible" r:id="rId5"/>
    <sheet name="10-Year Monthly Projections" sheetId="4" state="visible" r:id="rId6"/>
    <sheet name="Annual Summary" sheetId="5" state="visible" r:id="rId7"/>
    <sheet name="Sources &amp; Uses" sheetId="6" state="visible" r:id="rId8"/>
    <sheet name="Debt Service Schedule" sheetId="7" state="visible" r:id="rId9"/>
    <sheet name="Property Valuation" sheetId="8" state="visible" r:id="rId10"/>
    <sheet name="Laundry Revenu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<sst xmlns="http://schemas.openxmlformats.org/spreadsheetml/2006/main" count="376" uniqueCount="250">
  <si>
    <t xml:space="preserve">HOTEL BRENDLE - CASH-OUT REFINANCE REQUEST</t>
  </si>
  <si>
    <t xml:space="preserve">Prepared: May 04, 2026</t>
  </si>
  <si>
    <t xml:space="preserve">PROPERTY INFORMATION</t>
  </si>
  <si>
    <t xml:space="preserve">Address:</t>
  </si>
  <si>
    <t xml:space="preserve">601 E Ave A, Robstown, TX 78380</t>
  </si>
  <si>
    <t xml:space="preserve">Property Type:</t>
  </si>
  <si>
    <t xml:space="preserve">Historic Hotel - Extended Stay</t>
  </si>
  <si>
    <t xml:space="preserve">Total Rooms:</t>
  </si>
  <si>
    <t xml:space="preserve">Currently Available:</t>
  </si>
  <si>
    <t xml:space="preserve">To Be Renovated:</t>
  </si>
  <si>
    <t xml:space="preserve">LOAN REQUEST</t>
  </si>
  <si>
    <t xml:space="preserve">Amount Requested:</t>
  </si>
  <si>
    <t xml:space="preserve">USE OF PROCEEDS</t>
  </si>
  <si>
    <t xml:space="preserve">Existing Debt Payoff</t>
  </si>
  <si>
    <t xml:space="preserve">Amenities &amp; Jobsite Costs</t>
  </si>
  <si>
    <t xml:space="preserve">Room Renovation (40 rooms @ $15k)</t>
  </si>
  <si>
    <t xml:space="preserve">Total Uses</t>
  </si>
  <si>
    <t xml:space="preserve">LOAN TERMS</t>
  </si>
  <si>
    <t xml:space="preserve">Interest Rate:</t>
  </si>
  <si>
    <t xml:space="preserve">Amortization:</t>
  </si>
  <si>
    <t xml:space="preserve">25 years</t>
  </si>
  <si>
    <t xml:space="preserve">Monthly Payment (P&amp;I):</t>
  </si>
  <si>
    <t xml:space="preserve">Annual Debt Service:</t>
  </si>
  <si>
    <t xml:space="preserve">KEY METRICS (Year 3 Stabilized)</t>
  </si>
  <si>
    <t xml:space="preserve">Stabilized NOI:</t>
  </si>
  <si>
    <t xml:space="preserve">DSCR:</t>
  </si>
  <si>
    <t xml:space="preserve">RENOVATION BUDGET - LINE ITEM DETAIL</t>
  </si>
  <si>
    <t xml:space="preserve">LIGHT RENOVATION (7 rooms @ $1,217/room)</t>
  </si>
  <si>
    <t xml:space="preserve">Item</t>
  </si>
  <si>
    <t xml:space="preserve">Quantity</t>
  </si>
  <si>
    <t xml:space="preserve">Unit</t>
  </si>
  <si>
    <t xml:space="preserve">Unit Cost</t>
  </si>
  <si>
    <t xml:space="preserve">Extended</t>
  </si>
  <si>
    <t xml:space="preserve">Total</t>
  </si>
  <si>
    <t xml:space="preserve">Paint - Primer</t>
  </si>
  <si>
    <t xml:space="preserve">gallon</t>
  </si>
  <si>
    <t xml:space="preserve">Paint - Finish</t>
  </si>
  <si>
    <t xml:space="preserve">Floor Sander Rental</t>
  </si>
  <si>
    <t xml:space="preserve">day</t>
  </si>
  <si>
    <t xml:space="preserve">Floor Stain</t>
  </si>
  <si>
    <t xml:space="preserve">Polyurethane</t>
  </si>
  <si>
    <t xml:space="preserve">Sandpaper/Supplies</t>
  </si>
  <si>
    <t xml:space="preserve">lot</t>
  </si>
  <si>
    <t xml:space="preserve">Drywall Sheet</t>
  </si>
  <si>
    <t xml:space="preserve">sheet</t>
  </si>
  <si>
    <t xml:space="preserve">Joint Compound</t>
  </si>
  <si>
    <t xml:space="preserve">bucket</t>
  </si>
  <si>
    <t xml:space="preserve">Drywall Tape/Supplies</t>
  </si>
  <si>
    <t xml:space="preserve">Light Fixtures</t>
  </si>
  <si>
    <t xml:space="preserve">each</t>
  </si>
  <si>
    <t xml:space="preserve">Plumbing Repair Parts</t>
  </si>
  <si>
    <t xml:space="preserve">Door Lockset</t>
  </si>
  <si>
    <t xml:space="preserve">Materials Subtotal (per room)</t>
  </si>
  <si>
    <t xml:space="preserve">LABOR - Light Renovation (per room)</t>
  </si>
  <si>
    <t xml:space="preserve">Task</t>
  </si>
  <si>
    <t xml:space="preserve">Hours</t>
  </si>
  <si>
    <t xml:space="preserve">Rate/Hr</t>
  </si>
  <si>
    <t xml:space="preserve">Floor prep/sand/stain</t>
  </si>
  <si>
    <t xml:space="preserve">Paint (prep + 2 coats)</t>
  </si>
  <si>
    <t xml:space="preserve">Drywall repair</t>
  </si>
  <si>
    <t xml:space="preserve">Plumbing touchup</t>
  </si>
  <si>
    <t xml:space="preserve">Electrical</t>
  </si>
  <si>
    <t xml:space="preserve">Install hardware</t>
  </si>
  <si>
    <t xml:space="preserve">Labor Subtotal (per room)</t>
  </si>
  <si>
    <t xml:space="preserve">LIGHT RENOVATION TOTAL</t>
  </si>
  <si>
    <t xml:space="preserve">FULL RENOVATION (36 rooms @ $8,273/room)</t>
  </si>
  <si>
    <t xml:space="preserve">Drywall 4x8 Sheet</t>
  </si>
  <si>
    <t xml:space="preserve">Drywall Tape</t>
  </si>
  <si>
    <t xml:space="preserve">roll</t>
  </si>
  <si>
    <t xml:space="preserve">Drywall Screws</t>
  </si>
  <si>
    <t xml:space="preserve">box</t>
  </si>
  <si>
    <t xml:space="preserve">Bathroom Wall Tile</t>
  </si>
  <si>
    <t xml:space="preserve">sqft</t>
  </si>
  <si>
    <t xml:space="preserve">Bathroom Floor Tile</t>
  </si>
  <si>
    <t xml:space="preserve">Shower Tile</t>
  </si>
  <si>
    <t xml:space="preserve">Thinset</t>
  </si>
  <si>
    <t xml:space="preserve">bag</t>
  </si>
  <si>
    <t xml:space="preserve">Grout</t>
  </si>
  <si>
    <t xml:space="preserve">Waterproof Membrane</t>
  </si>
  <si>
    <t xml:space="preserve">Toilet</t>
  </si>
  <si>
    <t xml:space="preserve">Bathroom Sink</t>
  </si>
  <si>
    <t xml:space="preserve">Shower Valve/Head</t>
  </si>
  <si>
    <t xml:space="preserve">Faucet</t>
  </si>
  <si>
    <t xml:space="preserve">Drain Assemblies</t>
  </si>
  <si>
    <t xml:space="preserve">Supply Lines</t>
  </si>
  <si>
    <t xml:space="preserve">Electrical Outlets</t>
  </si>
  <si>
    <t xml:space="preserve">Switches</t>
  </si>
  <si>
    <t xml:space="preserve">GFCI Outlet</t>
  </si>
  <si>
    <t xml:space="preserve">Romex Wire</t>
  </si>
  <si>
    <t xml:space="preserve">foot</t>
  </si>
  <si>
    <t xml:space="preserve">Electrical Boxes/Covers</t>
  </si>
  <si>
    <t xml:space="preserve">Window Materials</t>
  </si>
  <si>
    <t xml:space="preserve">Window Glass</t>
  </si>
  <si>
    <t xml:space="preserve">Window Hardware</t>
  </si>
  <si>
    <t xml:space="preserve">Glazing Compound</t>
  </si>
  <si>
    <t xml:space="preserve">Flex Ductwork</t>
  </si>
  <si>
    <t xml:space="preserve">HVAC Registers</t>
  </si>
  <si>
    <t xml:space="preserve">Zone Damper</t>
  </si>
  <si>
    <t xml:space="preserve">Duct Insulation</t>
  </si>
  <si>
    <t xml:space="preserve">Interior Door</t>
  </si>
  <si>
    <t xml:space="preserve">Door Hardware</t>
  </si>
  <si>
    <t xml:space="preserve">set</t>
  </si>
  <si>
    <t xml:space="preserve">Baseboard</t>
  </si>
  <si>
    <t xml:space="preserve">LF</t>
  </si>
  <si>
    <t xml:space="preserve">Door Trim</t>
  </si>
  <si>
    <t xml:space="preserve">Nails/Adhesive</t>
  </si>
  <si>
    <t xml:space="preserve">Bathroom Mirror</t>
  </si>
  <si>
    <t xml:space="preserve">Towel Bar/TP Holder</t>
  </si>
  <si>
    <t xml:space="preserve">Shower Rod/Curtain</t>
  </si>
  <si>
    <t xml:space="preserve">Dumpster Allocation</t>
  </si>
  <si>
    <t xml:space="preserve">room</t>
  </si>
  <si>
    <t xml:space="preserve">LABOR - Full Renovation (per room)</t>
  </si>
  <si>
    <t xml:space="preserve">Demolition</t>
  </si>
  <si>
    <t xml:space="preserve">Haul debris</t>
  </si>
  <si>
    <t xml:space="preserve">Drywall hanging</t>
  </si>
  <si>
    <t xml:space="preserve">Drywall finishing</t>
  </si>
  <si>
    <t xml:space="preserve">Paint</t>
  </si>
  <si>
    <t xml:space="preserve">Floor refinish</t>
  </si>
  <si>
    <t xml:space="preserve">Tile work</t>
  </si>
  <si>
    <t xml:space="preserve">Window rebuild</t>
  </si>
  <si>
    <t xml:space="preserve">Electrical rough-in</t>
  </si>
  <si>
    <t xml:space="preserve">Electrical finish</t>
  </si>
  <si>
    <t xml:space="preserve">Plumbing rough-in</t>
  </si>
  <si>
    <t xml:space="preserve">Plumbing fixtures</t>
  </si>
  <si>
    <t xml:space="preserve">HVAC ductwork</t>
  </si>
  <si>
    <t xml:space="preserve">Trim/doors</t>
  </si>
  <si>
    <t xml:space="preserve">Final cleanup</t>
  </si>
  <si>
    <t xml:space="preserve">FULL RENOVATION TOTAL</t>
  </si>
  <si>
    <t xml:space="preserve">CENTRAL HVAC SYSTEM</t>
  </si>
  <si>
    <t xml:space="preserve">Central HVAC Unit (20 ton)</t>
  </si>
  <si>
    <t xml:space="preserve">Main Ductwork Trunk Lines</t>
  </si>
  <si>
    <t xml:space="preserve">Installation Labor</t>
  </si>
  <si>
    <t xml:space="preserve">Central HVAC Total</t>
  </si>
  <si>
    <t xml:space="preserve">AMENITIES</t>
  </si>
  <si>
    <t xml:space="preserve">Extended Laundry Facility</t>
  </si>
  <si>
    <t xml:space="preserve">Commercial Washer (Speed Queen)</t>
  </si>
  <si>
    <t xml:space="preserve">Commercial Dryer (Speed Queen)</t>
  </si>
  <si>
    <t xml:space="preserve">Plumbing Rough-in</t>
  </si>
  <si>
    <t xml:space="preserve">Electrical (220V circuits)</t>
  </si>
  <si>
    <t xml:space="preserve">Ventilation/Ductwork</t>
  </si>
  <si>
    <t xml:space="preserve">Flooring (200 sqft)</t>
  </si>
  <si>
    <t xml:space="preserve">Folding Tables/Carts</t>
  </si>
  <si>
    <t xml:space="preserve">Coin/Card Payment System</t>
  </si>
  <si>
    <t xml:space="preserve">system</t>
  </si>
  <si>
    <t xml:space="preserve">Laundry Facility Total</t>
  </si>
  <si>
    <t xml:space="preserve">Extended Kitchen Facility</t>
  </si>
  <si>
    <t xml:space="preserve">Commercial Range</t>
  </si>
  <si>
    <t xml:space="preserve">Commercial Refrigerator</t>
  </si>
  <si>
    <t xml:space="preserve">Countertops/Cabinets</t>
  </si>
  <si>
    <t xml:space="preserve">Commercial Sinks</t>
  </si>
  <si>
    <t xml:space="preserve">Plumbing</t>
  </si>
  <si>
    <t xml:space="preserve">Fire Suppression System</t>
  </si>
  <si>
    <t xml:space="preserve">Ventilation/Hood</t>
  </si>
  <si>
    <t xml:space="preserve">Kitchen Facility Total</t>
  </si>
  <si>
    <t xml:space="preserve">INFRASTRUCTURE &amp; JOBSITE</t>
  </si>
  <si>
    <t xml:space="preserve">Tool/Equipment Rental</t>
  </si>
  <si>
    <t xml:space="preserve">Permits/Fees</t>
  </si>
  <si>
    <t xml:space="preserve">Inspections</t>
  </si>
  <si>
    <t xml:space="preserve">Project Management</t>
  </si>
  <si>
    <t xml:space="preserve">Infrastructure Total</t>
  </si>
  <si>
    <t xml:space="preserve">RENOVATION BUDGET SUMMARY</t>
  </si>
  <si>
    <t xml:space="preserve">Category</t>
  </si>
  <si>
    <t xml:space="preserve">Amount</t>
  </si>
  <si>
    <t xml:space="preserve">Light Renovation (7 rooms)</t>
  </si>
  <si>
    <t xml:space="preserve">Full Renovation (36 rooms)</t>
  </si>
  <si>
    <t xml:space="preserve">Central HVAC</t>
  </si>
  <si>
    <t xml:space="preserve">Extended Laundry</t>
  </si>
  <si>
    <t xml:space="preserve">Extended Kitchen</t>
  </si>
  <si>
    <t xml:space="preserve">Infrastructure/Jobsite</t>
  </si>
  <si>
    <t xml:space="preserve">SUBTOTAL</t>
  </si>
  <si>
    <t xml:space="preserve">Contingency (10%)</t>
  </si>
  <si>
    <t xml:space="preserve">TOTAL RENOVATION COST</t>
  </si>
  <si>
    <t xml:space="preserve">CURRENT OPERATIONS (April 2026)</t>
  </si>
  <si>
    <t xml:space="preserve">OPERATING PERFORMANCE</t>
  </si>
  <si>
    <t xml:space="preserve">Occupied Rooms:</t>
  </si>
  <si>
    <t xml:space="preserve">Available Rooms:</t>
  </si>
  <si>
    <t xml:space="preserve">Occupancy Rate:</t>
  </si>
  <si>
    <t xml:space="preserve">REVENUE</t>
  </si>
  <si>
    <t xml:space="preserve">Monthly Rent (Contractual):</t>
  </si>
  <si>
    <t xml:space="preserve">Annualized Revenue:</t>
  </si>
  <si>
    <t xml:space="preserve">OPERATING EXPENSES (Q1 2026 Average)</t>
  </si>
  <si>
    <t xml:space="preserve">Payroll</t>
  </si>
  <si>
    <t xml:space="preserve">Property Taxes</t>
  </si>
  <si>
    <t xml:space="preserve">Electric</t>
  </si>
  <si>
    <t xml:space="preserve">Gas</t>
  </si>
  <si>
    <t xml:space="preserve">Water</t>
  </si>
  <si>
    <t xml:space="preserve">Sewer</t>
  </si>
  <si>
    <t xml:space="preserve">Trash</t>
  </si>
  <si>
    <t xml:space="preserve">Consumables</t>
  </si>
  <si>
    <t xml:space="preserve">Total Monthly Expenses:</t>
  </si>
  <si>
    <t xml:space="preserve">Annual Operating Expenses:</t>
  </si>
  <si>
    <t xml:space="preserve">NET OPERATING INCOME</t>
  </si>
  <si>
    <t xml:space="preserve">Annual NOI:</t>
  </si>
  <si>
    <t xml:space="preserve">10-YEAR MONTHLY CASH FLOW PROJECTIONS</t>
  </si>
  <si>
    <t xml:space="preserve">Year</t>
  </si>
  <si>
    <t xml:space="preserve">Mo</t>
  </si>
  <si>
    <t xml:space="preserve">Rooms Avail</t>
  </si>
  <si>
    <t xml:space="preserve">Occ %</t>
  </si>
  <si>
    <t xml:space="preserve">Avg Rent</t>
  </si>
  <si>
    <t xml:space="preserve">Revenue</t>
  </si>
  <si>
    <t xml:space="preserve">Laundry Rev</t>
  </si>
  <si>
    <t xml:space="preserve">Total Revenue</t>
  </si>
  <si>
    <t xml:space="preserve">NOI</t>
  </si>
  <si>
    <t xml:space="preserve">Debt Svc</t>
  </si>
  <si>
    <t xml:space="preserve">Cash Flow</t>
  </si>
  <si>
    <t xml:space="preserve">DSCR</t>
  </si>
  <si>
    <t xml:space="preserve">ANNUAL SUMMARY &amp; KEY METRICS</t>
  </si>
  <si>
    <t xml:space="preserve">Gross Revenue</t>
  </si>
  <si>
    <t xml:space="preserve">Operating Expenses</t>
  </si>
  <si>
    <t xml:space="preserve">Debt Service</t>
  </si>
  <si>
    <t xml:space="preserve">Net Cash Flow</t>
  </si>
  <si>
    <t xml:space="preserve">Cumulative Cash Flow</t>
  </si>
  <si>
    <t xml:space="preserve">SOURCES &amp; USES OF FUNDS</t>
  </si>
  <si>
    <t xml:space="preserve">SOURCES</t>
  </si>
  <si>
    <t xml:space="preserve">New Loan Proceeds</t>
  </si>
  <si>
    <t xml:space="preserve">TOTAL SOURCES</t>
  </si>
  <si>
    <t xml:space="preserve">USES</t>
  </si>
  <si>
    <t xml:space="preserve">Room Renovation (43 rooms)</t>
  </si>
  <si>
    <t xml:space="preserve">Jobsite Costs &amp; Contingency</t>
  </si>
  <si>
    <t xml:space="preserve">TOTAL USES</t>
  </si>
  <si>
    <t xml:space="preserve">Note: 40% renovation grant potential ($240k) available but not assumed in projections</t>
  </si>
  <si>
    <t xml:space="preserve">DEBT SERVICE SCHEDULE (First 10 Years)</t>
  </si>
  <si>
    <t xml:space="preserve">Loan: $850,000 @ 7.5% for 25 years</t>
  </si>
  <si>
    <t xml:space="preserve">Month</t>
  </si>
  <si>
    <t xml:space="preserve">Payment</t>
  </si>
  <si>
    <t xml:space="preserve">Interest</t>
  </si>
  <si>
    <t xml:space="preserve">Principal</t>
  </si>
  <si>
    <t xml:space="preserve">Balance</t>
  </si>
  <si>
    <t xml:space="preserve">PROPERTY VALUATION ANALYSIS</t>
  </si>
  <si>
    <t xml:space="preserve">CURRENT VALUE (AS-IS)</t>
  </si>
  <si>
    <t xml:space="preserve">Current NOI:</t>
  </si>
  <si>
    <t xml:space="preserve">Capitalization Rate:</t>
  </si>
  <si>
    <t xml:space="preserve">Current Value:</t>
  </si>
  <si>
    <t xml:space="preserve">STABILIZED VALUE (Post-Renovation, Year 3)</t>
  </si>
  <si>
    <t xml:space="preserve">Stabilized Value:</t>
  </si>
  <si>
    <t xml:space="preserve">LOAN METRICS</t>
  </si>
  <si>
    <t xml:space="preserve">Loan Amount:</t>
  </si>
  <si>
    <t xml:space="preserve">Loan-to-Value (LTV):</t>
  </si>
  <si>
    <t xml:space="preserve">Equity Position:</t>
  </si>
  <si>
    <t xml:space="preserve">LAUNDRY REVENUE PROJECTIONS (120 Months)</t>
  </si>
  <si>
    <t xml:space="preserve">ASSUMPTIONS:</t>
  </si>
  <si>
    <t xml:space="preserve">Loads per occupied room per week:</t>
  </si>
  <si>
    <t xml:space="preserve">Washer price per load:</t>
  </si>
  <si>
    <t xml:space="preserve">Dryer price per load:</t>
  </si>
  <si>
    <t xml:space="preserve">Total per load:</t>
  </si>
  <si>
    <t xml:space="preserve">Occupied Rooms</t>
  </si>
  <si>
    <t xml:space="preserve">Weekly Loads</t>
  </si>
  <si>
    <t xml:space="preserve">Monthly Loads</t>
  </si>
  <si>
    <t xml:space="preserve">Price/Load</t>
  </si>
  <si>
    <t xml:space="preserve">Monthly Revenue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</si>
</sst>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0%"/>
    <numFmt numFmtId="167" formatCode="\$#,##0.00"/>
    <numFmt numFmtId="168" formatCode="0.00\x"/>
    <numFmt numFmtId="169" formatCode="0.0%"/>
    <numFmt numFmtId="170" formatCode="0.00"/>
    <numFmt numFmtId="171" formatCode="0.0"/>
    <numFmt numFmtId="172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.51"/>
    <col collapsed="false" customWidth="true" hidden="false" outlineLevel="0" max="2" min="2" style="0" width="31.2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n">
        <v>67</v>
      </c>
    </row>
    <row r="8" customFormat="false" ht="15" hidden="false" customHeight="false" outlineLevel="0" collapsed="false">
      <c r="A8" s="0" t="s">
        <v>8</v>
      </c>
      <c r="B8" s="0" t="n">
        <v>24</v>
      </c>
    </row>
    <row r="9" customFormat="false" ht="15" hidden="false" customHeight="false" outlineLevel="0" collapsed="false">
      <c r="A9" s="0" t="s">
        <v>9</v>
      </c>
      <c r="B9" s="0" t="n">
        <v>43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0" t="s">
        <v>11</v>
      </c>
      <c r="B12" s="3" t="n">
        <v>850000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0" t="s">
        <v>13</v>
      </c>
      <c r="B15" s="5" t="n">
        <v>150000</v>
      </c>
    </row>
    <row r="16" customFormat="false" ht="15" hidden="false" customHeight="false" outlineLevel="0" collapsed="false">
      <c r="A16" s="0" t="s">
        <v>14</v>
      </c>
      <c r="B16" s="5" t="n">
        <v>100000</v>
      </c>
    </row>
    <row r="17" customFormat="false" ht="15" hidden="false" customHeight="false" outlineLevel="0" collapsed="false">
      <c r="A17" s="0" t="s">
        <v>15</v>
      </c>
      <c r="B17" s="5" t="n">
        <v>600000</v>
      </c>
    </row>
    <row r="18" customFormat="false" ht="15" hidden="false" customHeight="false" outlineLevel="0" collapsed="false">
      <c r="A18" s="4" t="s">
        <v>16</v>
      </c>
      <c r="B18" s="3" t="n">
        <f aca="false">SUM(B15:B17)</f>
        <v>850000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0" t="s">
        <v>18</v>
      </c>
      <c r="B21" s="6" t="n">
        <v>0.075</v>
      </c>
    </row>
    <row r="22" customFormat="false" ht="15" hidden="false" customHeight="false" outlineLevel="0" collapsed="false">
      <c r="A22" s="0" t="s">
        <v>19</v>
      </c>
      <c r="B22" s="0" t="s">
        <v>20</v>
      </c>
    </row>
    <row r="23" customFormat="false" ht="15" hidden="false" customHeight="false" outlineLevel="0" collapsed="false">
      <c r="A23" s="0" t="s">
        <v>21</v>
      </c>
      <c r="B23" s="7" t="n">
        <v>6281.43</v>
      </c>
    </row>
    <row r="24" customFormat="false" ht="15" hidden="false" customHeight="false" outlineLevel="0" collapsed="false">
      <c r="A24" s="0" t="s">
        <v>22</v>
      </c>
      <c r="B24" s="5" t="n">
        <f aca="false">B23*12</f>
        <v>75377.16</v>
      </c>
    </row>
    <row r="26" customFormat="false" ht="15" hidden="false" customHeight="false" outlineLevel="0" collapsed="false">
      <c r="A26" s="2" t="s">
        <v>23</v>
      </c>
    </row>
    <row r="27" customFormat="false" ht="15" hidden="false" customHeight="false" outlineLevel="0" collapsed="false">
      <c r="A27" s="0" t="s">
        <v>24</v>
      </c>
      <c r="B27" s="5" t="n">
        <f aca="false">'Annual Summary'!D6</f>
        <v>546720</v>
      </c>
    </row>
    <row r="28" customFormat="false" ht="15" hidden="false" customHeight="false" outlineLevel="0" collapsed="false">
      <c r="A28" s="0" t="s">
        <v>25</v>
      </c>
      <c r="B28" s="8" t="n">
        <f aca="false">'Annual Summary'!G6</f>
        <v>1.02614923759544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8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D109" activeCellId="0" sqref="D10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.3"/>
    <col collapsed="false" customWidth="true" hidden="false" outlineLevel="0" max="2" min="2" style="0" width="21.57"/>
    <col collapsed="false" customWidth="true" hidden="false" outlineLevel="0" max="3" min="3" style="0" width="23.77"/>
    <col collapsed="false" customWidth="true" hidden="false" outlineLevel="0" max="4" min="4" style="0" width="20.59"/>
    <col collapsed="false" customWidth="true" hidden="false" outlineLevel="0" max="5" min="5" style="0" width="32.72"/>
  </cols>
  <sheetData>
    <row r="1" customFormat="false" ht="17.35" hidden="false" customHeight="false" outlineLevel="0" collapsed="false">
      <c r="A1" s="9" t="s">
        <v>26</v>
      </c>
    </row>
    <row r="3" customFormat="false" ht="15" hidden="false" customHeight="false" outlineLevel="0" collapsed="false">
      <c r="A3" s="2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</row>
    <row r="5" customFormat="false" ht="15" hidden="false" customHeight="false" outlineLevel="0" collapsed="false">
      <c r="A5" s="0" t="s">
        <v>34</v>
      </c>
      <c r="B5" s="0" t="n">
        <v>2</v>
      </c>
      <c r="C5" s="0" t="s">
        <v>35</v>
      </c>
      <c r="D5" s="7" t="n">
        <v>35</v>
      </c>
      <c r="E5" s="7" t="n">
        <f aca="false">B5*D5</f>
        <v>70</v>
      </c>
    </row>
    <row r="6" customFormat="false" ht="15" hidden="false" customHeight="false" outlineLevel="0" collapsed="false">
      <c r="A6" s="0" t="s">
        <v>36</v>
      </c>
      <c r="B6" s="0" t="n">
        <v>4</v>
      </c>
      <c r="C6" s="0" t="s">
        <v>35</v>
      </c>
      <c r="D6" s="7" t="n">
        <v>45</v>
      </c>
      <c r="E6" s="7" t="n">
        <f aca="false">B6*D6</f>
        <v>180</v>
      </c>
    </row>
    <row r="7" customFormat="false" ht="15" hidden="false" customHeight="false" outlineLevel="0" collapsed="false">
      <c r="A7" s="0" t="s">
        <v>37</v>
      </c>
      <c r="B7" s="0" t="n">
        <v>0.33</v>
      </c>
      <c r="C7" s="0" t="s">
        <v>38</v>
      </c>
      <c r="D7" s="7" t="n">
        <v>90</v>
      </c>
      <c r="E7" s="7" t="n">
        <f aca="false">B7*D7</f>
        <v>29.7</v>
      </c>
    </row>
    <row r="8" customFormat="false" ht="15" hidden="false" customHeight="false" outlineLevel="0" collapsed="false">
      <c r="A8" s="0" t="s">
        <v>39</v>
      </c>
      <c r="B8" s="0" t="n">
        <v>1.5</v>
      </c>
      <c r="C8" s="0" t="s">
        <v>35</v>
      </c>
      <c r="D8" s="7" t="n">
        <v>50</v>
      </c>
      <c r="E8" s="7" t="n">
        <f aca="false">B8*D8</f>
        <v>75</v>
      </c>
    </row>
    <row r="9" customFormat="false" ht="15" hidden="false" customHeight="false" outlineLevel="0" collapsed="false">
      <c r="A9" s="0" t="s">
        <v>40</v>
      </c>
      <c r="B9" s="0" t="n">
        <v>1</v>
      </c>
      <c r="C9" s="0" t="s">
        <v>35</v>
      </c>
      <c r="D9" s="7" t="n">
        <v>60</v>
      </c>
      <c r="E9" s="7" t="n">
        <f aca="false">B9*D9</f>
        <v>60</v>
      </c>
    </row>
    <row r="10" customFormat="false" ht="15" hidden="false" customHeight="false" outlineLevel="0" collapsed="false">
      <c r="A10" s="0" t="s">
        <v>41</v>
      </c>
      <c r="B10" s="0" t="n">
        <v>1</v>
      </c>
      <c r="C10" s="0" t="s">
        <v>42</v>
      </c>
      <c r="D10" s="7" t="n">
        <v>30</v>
      </c>
      <c r="E10" s="7" t="n">
        <f aca="false">B10*D10</f>
        <v>30</v>
      </c>
    </row>
    <row r="11" customFormat="false" ht="15" hidden="false" customHeight="false" outlineLevel="0" collapsed="false">
      <c r="A11" s="0" t="s">
        <v>43</v>
      </c>
      <c r="B11" s="0" t="n">
        <v>1</v>
      </c>
      <c r="C11" s="0" t="s">
        <v>44</v>
      </c>
      <c r="D11" s="7" t="n">
        <v>13</v>
      </c>
      <c r="E11" s="7" t="n">
        <f aca="false">B11*D11</f>
        <v>13</v>
      </c>
    </row>
    <row r="12" customFormat="false" ht="15" hidden="false" customHeight="false" outlineLevel="0" collapsed="false">
      <c r="A12" s="0" t="s">
        <v>45</v>
      </c>
      <c r="B12" s="0" t="n">
        <v>1</v>
      </c>
      <c r="C12" s="0" t="s">
        <v>46</v>
      </c>
      <c r="D12" s="7" t="n">
        <v>18</v>
      </c>
      <c r="E12" s="7" t="n">
        <f aca="false">B12*D12</f>
        <v>18</v>
      </c>
    </row>
    <row r="13" customFormat="false" ht="15" hidden="false" customHeight="false" outlineLevel="0" collapsed="false">
      <c r="A13" s="0" t="s">
        <v>47</v>
      </c>
      <c r="B13" s="0" t="n">
        <v>1</v>
      </c>
      <c r="C13" s="0" t="s">
        <v>42</v>
      </c>
      <c r="D13" s="7" t="n">
        <v>15</v>
      </c>
      <c r="E13" s="7" t="n">
        <f aca="false">B13*D13</f>
        <v>15</v>
      </c>
    </row>
    <row r="14" customFormat="false" ht="15" hidden="false" customHeight="false" outlineLevel="0" collapsed="false">
      <c r="A14" s="0" t="s">
        <v>48</v>
      </c>
      <c r="B14" s="0" t="n">
        <v>2</v>
      </c>
      <c r="C14" s="0" t="s">
        <v>49</v>
      </c>
      <c r="D14" s="7" t="n">
        <v>40</v>
      </c>
      <c r="E14" s="7" t="n">
        <f aca="false">B14*D14</f>
        <v>80</v>
      </c>
    </row>
    <row r="15" customFormat="false" ht="15" hidden="false" customHeight="false" outlineLevel="0" collapsed="false">
      <c r="A15" s="0" t="s">
        <v>50</v>
      </c>
      <c r="B15" s="0" t="n">
        <v>1</v>
      </c>
      <c r="C15" s="0" t="s">
        <v>42</v>
      </c>
      <c r="D15" s="7" t="n">
        <v>50</v>
      </c>
      <c r="E15" s="7" t="n">
        <f aca="false">B15*D15</f>
        <v>50</v>
      </c>
    </row>
    <row r="16" customFormat="false" ht="15" hidden="false" customHeight="false" outlineLevel="0" collapsed="false">
      <c r="A16" s="0" t="s">
        <v>51</v>
      </c>
      <c r="B16" s="0" t="n">
        <v>1</v>
      </c>
      <c r="C16" s="0" t="s">
        <v>49</v>
      </c>
      <c r="D16" s="7" t="n">
        <v>35</v>
      </c>
      <c r="E16" s="7" t="n">
        <f aca="false">B16*D16</f>
        <v>35</v>
      </c>
    </row>
    <row r="17" customFormat="false" ht="15" hidden="false" customHeight="false" outlineLevel="0" collapsed="false">
      <c r="A17" s="4" t="s">
        <v>52</v>
      </c>
      <c r="E17" s="10" t="n">
        <f aca="false">SUM(E5:E16)</f>
        <v>655.7</v>
      </c>
      <c r="F17" s="3" t="n">
        <f aca="false">E17*7</f>
        <v>4589.9</v>
      </c>
    </row>
    <row r="19" customFormat="false" ht="15" hidden="false" customHeight="false" outlineLevel="0" collapsed="false">
      <c r="A19" s="4" t="s">
        <v>53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56</v>
      </c>
      <c r="D20" s="4" t="s">
        <v>31</v>
      </c>
      <c r="E20" s="4" t="s">
        <v>32</v>
      </c>
      <c r="F20" s="4" t="s">
        <v>33</v>
      </c>
    </row>
    <row r="21" customFormat="false" ht="15" hidden="false" customHeight="false" outlineLevel="0" collapsed="false">
      <c r="A21" s="0" t="s">
        <v>57</v>
      </c>
      <c r="B21" s="0" t="n">
        <v>8</v>
      </c>
      <c r="C21" s="7" t="n">
        <v>22</v>
      </c>
      <c r="E21" s="7" t="n">
        <f aca="false">B21*C21</f>
        <v>176</v>
      </c>
    </row>
    <row r="22" customFormat="false" ht="15" hidden="false" customHeight="false" outlineLevel="0" collapsed="false">
      <c r="A22" s="0" t="s">
        <v>58</v>
      </c>
      <c r="B22" s="0" t="n">
        <v>12</v>
      </c>
      <c r="C22" s="7" t="n">
        <v>22</v>
      </c>
      <c r="E22" s="7" t="n">
        <f aca="false">B22*C22</f>
        <v>264</v>
      </c>
    </row>
    <row r="23" customFormat="false" ht="15" hidden="false" customHeight="false" outlineLevel="0" collapsed="false">
      <c r="A23" s="0" t="s">
        <v>59</v>
      </c>
      <c r="B23" s="0" t="n">
        <v>3</v>
      </c>
      <c r="C23" s="7" t="n">
        <v>22</v>
      </c>
      <c r="E23" s="7" t="n">
        <f aca="false">B23*C23</f>
        <v>66</v>
      </c>
    </row>
    <row r="24" customFormat="false" ht="15" hidden="false" customHeight="false" outlineLevel="0" collapsed="false">
      <c r="A24" s="0" t="s">
        <v>60</v>
      </c>
      <c r="B24" s="0" t="n">
        <v>1</v>
      </c>
      <c r="C24" s="7" t="n">
        <v>22</v>
      </c>
      <c r="E24" s="7" t="n">
        <f aca="false">B24*C24</f>
        <v>22</v>
      </c>
    </row>
    <row r="25" customFormat="false" ht="15" hidden="false" customHeight="false" outlineLevel="0" collapsed="false">
      <c r="A25" s="0" t="s">
        <v>61</v>
      </c>
      <c r="B25" s="0" t="n">
        <v>1</v>
      </c>
      <c r="C25" s="7" t="n">
        <v>22</v>
      </c>
      <c r="E25" s="7" t="n">
        <f aca="false">B25*C25</f>
        <v>22</v>
      </c>
    </row>
    <row r="26" customFormat="false" ht="15" hidden="false" customHeight="false" outlineLevel="0" collapsed="false">
      <c r="A26" s="0" t="s">
        <v>62</v>
      </c>
      <c r="B26" s="0" t="n">
        <v>0.5</v>
      </c>
      <c r="C26" s="7" t="n">
        <v>22</v>
      </c>
      <c r="E26" s="7" t="n">
        <f aca="false">B26*C26</f>
        <v>11</v>
      </c>
    </row>
    <row r="27" customFormat="false" ht="15" hidden="false" customHeight="false" outlineLevel="0" collapsed="false">
      <c r="A27" s="4" t="s">
        <v>63</v>
      </c>
      <c r="E27" s="10" t="n">
        <f aca="false">SUM(E21:E26)</f>
        <v>561</v>
      </c>
      <c r="F27" s="3" t="n">
        <f aca="false">E27*7</f>
        <v>3927</v>
      </c>
    </row>
    <row r="29" customFormat="false" ht="15" hidden="false" customHeight="false" outlineLevel="0" collapsed="false">
      <c r="A29" s="2" t="s">
        <v>64</v>
      </c>
      <c r="E29" s="10" t="n">
        <f aca="false">E17+E27</f>
        <v>1216.7</v>
      </c>
      <c r="F29" s="3" t="n">
        <f aca="false">F17+F27</f>
        <v>8516.9</v>
      </c>
    </row>
    <row r="32" customFormat="false" ht="15" hidden="false" customHeight="false" outlineLevel="0" collapsed="false">
      <c r="A32" s="2" t="s">
        <v>65</v>
      </c>
    </row>
    <row r="33" customFormat="false" ht="15" hidden="false" customHeight="false" outlineLevel="0" collapsed="false">
      <c r="A33" s="4" t="s">
        <v>28</v>
      </c>
      <c r="B33" s="4" t="s">
        <v>29</v>
      </c>
      <c r="C33" s="4" t="s">
        <v>30</v>
      </c>
      <c r="D33" s="4" t="s">
        <v>31</v>
      </c>
      <c r="E33" s="4" t="s">
        <v>32</v>
      </c>
      <c r="F33" s="4" t="s">
        <v>33</v>
      </c>
    </row>
    <row r="34" customFormat="false" ht="15" hidden="false" customHeight="false" outlineLevel="0" collapsed="false">
      <c r="A34" s="0" t="s">
        <v>66</v>
      </c>
      <c r="B34" s="0" t="n">
        <v>19</v>
      </c>
      <c r="C34" s="0" t="s">
        <v>44</v>
      </c>
      <c r="D34" s="7" t="n">
        <v>13</v>
      </c>
      <c r="E34" s="7" t="n">
        <f aca="false">B34*D34</f>
        <v>247</v>
      </c>
    </row>
    <row r="35" customFormat="false" ht="15" hidden="false" customHeight="false" outlineLevel="0" collapsed="false">
      <c r="A35" s="0" t="s">
        <v>45</v>
      </c>
      <c r="B35" s="0" t="n">
        <v>3</v>
      </c>
      <c r="C35" s="0" t="s">
        <v>46</v>
      </c>
      <c r="D35" s="7" t="n">
        <v>18</v>
      </c>
      <c r="E35" s="7" t="n">
        <f aca="false">B35*D35</f>
        <v>54</v>
      </c>
    </row>
    <row r="36" customFormat="false" ht="15" hidden="false" customHeight="false" outlineLevel="0" collapsed="false">
      <c r="A36" s="0" t="s">
        <v>67</v>
      </c>
      <c r="B36" s="0" t="n">
        <v>2</v>
      </c>
      <c r="C36" s="0" t="s">
        <v>68</v>
      </c>
      <c r="D36" s="7" t="n">
        <v>7</v>
      </c>
      <c r="E36" s="7" t="n">
        <f aca="false">B36*D36</f>
        <v>14</v>
      </c>
    </row>
    <row r="37" customFormat="false" ht="15" hidden="false" customHeight="false" outlineLevel="0" collapsed="false">
      <c r="A37" s="0" t="s">
        <v>69</v>
      </c>
      <c r="B37" s="0" t="n">
        <v>1</v>
      </c>
      <c r="C37" s="0" t="s">
        <v>70</v>
      </c>
      <c r="D37" s="7" t="n">
        <v>15</v>
      </c>
      <c r="E37" s="7" t="n">
        <f aca="false">B37*D37</f>
        <v>15</v>
      </c>
    </row>
    <row r="38" customFormat="false" ht="15" hidden="false" customHeight="false" outlineLevel="0" collapsed="false">
      <c r="A38" s="0" t="s">
        <v>34</v>
      </c>
      <c r="B38" s="0" t="n">
        <v>2</v>
      </c>
      <c r="C38" s="0" t="s">
        <v>35</v>
      </c>
      <c r="D38" s="7" t="n">
        <v>35</v>
      </c>
      <c r="E38" s="7" t="n">
        <f aca="false">B38*D38</f>
        <v>70</v>
      </c>
    </row>
    <row r="39" customFormat="false" ht="15" hidden="false" customHeight="false" outlineLevel="0" collapsed="false">
      <c r="A39" s="0" t="s">
        <v>36</v>
      </c>
      <c r="B39" s="0" t="n">
        <v>4</v>
      </c>
      <c r="C39" s="0" t="s">
        <v>35</v>
      </c>
      <c r="D39" s="7" t="n">
        <v>45</v>
      </c>
      <c r="E39" s="7" t="n">
        <f aca="false">B39*D39</f>
        <v>180</v>
      </c>
    </row>
    <row r="40" customFormat="false" ht="15" hidden="false" customHeight="false" outlineLevel="0" collapsed="false">
      <c r="A40" s="0" t="s">
        <v>37</v>
      </c>
      <c r="B40" s="0" t="n">
        <v>0.33</v>
      </c>
      <c r="C40" s="0" t="s">
        <v>38</v>
      </c>
      <c r="D40" s="7" t="n">
        <v>90</v>
      </c>
      <c r="E40" s="7" t="n">
        <f aca="false">B40*D40</f>
        <v>29.7</v>
      </c>
    </row>
    <row r="41" customFormat="false" ht="15" hidden="false" customHeight="false" outlineLevel="0" collapsed="false">
      <c r="A41" s="0" t="s">
        <v>39</v>
      </c>
      <c r="B41" s="0" t="n">
        <v>1.5</v>
      </c>
      <c r="C41" s="0" t="s">
        <v>35</v>
      </c>
      <c r="D41" s="7" t="n">
        <v>50</v>
      </c>
      <c r="E41" s="7" t="n">
        <f aca="false">B41*D41</f>
        <v>75</v>
      </c>
    </row>
    <row r="42" customFormat="false" ht="15" hidden="false" customHeight="false" outlineLevel="0" collapsed="false">
      <c r="A42" s="0" t="s">
        <v>40</v>
      </c>
      <c r="B42" s="0" t="n">
        <v>1</v>
      </c>
      <c r="C42" s="0" t="s">
        <v>35</v>
      </c>
      <c r="D42" s="7" t="n">
        <v>60</v>
      </c>
      <c r="E42" s="7" t="n">
        <f aca="false">B42*D42</f>
        <v>60</v>
      </c>
    </row>
    <row r="43" customFormat="false" ht="15" hidden="false" customHeight="false" outlineLevel="0" collapsed="false">
      <c r="A43" s="0" t="s">
        <v>41</v>
      </c>
      <c r="B43" s="0" t="n">
        <v>1</v>
      </c>
      <c r="C43" s="0" t="s">
        <v>42</v>
      </c>
      <c r="D43" s="7" t="n">
        <v>30</v>
      </c>
      <c r="E43" s="7" t="n">
        <f aca="false">B43*D43</f>
        <v>30</v>
      </c>
    </row>
    <row r="44" customFormat="false" ht="15" hidden="false" customHeight="false" outlineLevel="0" collapsed="false">
      <c r="A44" s="0" t="s">
        <v>71</v>
      </c>
      <c r="B44" s="0" t="n">
        <v>112</v>
      </c>
      <c r="C44" s="0" t="s">
        <v>72</v>
      </c>
      <c r="D44" s="7" t="n">
        <v>3.5</v>
      </c>
      <c r="E44" s="7" t="n">
        <f aca="false">B44*D44</f>
        <v>392</v>
      </c>
    </row>
    <row r="45" customFormat="false" ht="15" hidden="false" customHeight="false" outlineLevel="0" collapsed="false">
      <c r="A45" s="0" t="s">
        <v>73</v>
      </c>
      <c r="B45" s="0" t="n">
        <v>50</v>
      </c>
      <c r="C45" s="0" t="s">
        <v>72</v>
      </c>
      <c r="D45" s="7" t="n">
        <v>4</v>
      </c>
      <c r="E45" s="7" t="n">
        <f aca="false">B45*D45</f>
        <v>200</v>
      </c>
    </row>
    <row r="46" customFormat="false" ht="15" hidden="false" customHeight="false" outlineLevel="0" collapsed="false">
      <c r="A46" s="0" t="s">
        <v>74</v>
      </c>
      <c r="B46" s="0" t="n">
        <v>54</v>
      </c>
      <c r="C46" s="0" t="s">
        <v>72</v>
      </c>
      <c r="D46" s="7" t="n">
        <v>4</v>
      </c>
      <c r="E46" s="7" t="n">
        <f aca="false">B46*D46</f>
        <v>216</v>
      </c>
    </row>
    <row r="47" customFormat="false" ht="15" hidden="false" customHeight="false" outlineLevel="0" collapsed="false">
      <c r="A47" s="0" t="s">
        <v>75</v>
      </c>
      <c r="B47" s="0" t="n">
        <v>3</v>
      </c>
      <c r="C47" s="0" t="s">
        <v>76</v>
      </c>
      <c r="D47" s="7" t="n">
        <v>30</v>
      </c>
      <c r="E47" s="7" t="n">
        <f aca="false">B47*D47</f>
        <v>90</v>
      </c>
    </row>
    <row r="48" customFormat="false" ht="15" hidden="false" customHeight="false" outlineLevel="0" collapsed="false">
      <c r="A48" s="0" t="s">
        <v>77</v>
      </c>
      <c r="B48" s="0" t="n">
        <v>2</v>
      </c>
      <c r="C48" s="0" t="s">
        <v>76</v>
      </c>
      <c r="D48" s="7" t="n">
        <v>20</v>
      </c>
      <c r="E48" s="7" t="n">
        <f aca="false">B48*D48</f>
        <v>40</v>
      </c>
    </row>
    <row r="49" customFormat="false" ht="15" hidden="false" customHeight="false" outlineLevel="0" collapsed="false">
      <c r="A49" s="0" t="s">
        <v>78</v>
      </c>
      <c r="B49" s="0" t="n">
        <v>1</v>
      </c>
      <c r="C49" s="0" t="s">
        <v>42</v>
      </c>
      <c r="D49" s="7" t="n">
        <v>50</v>
      </c>
      <c r="E49" s="7" t="n">
        <f aca="false">B49*D49</f>
        <v>50</v>
      </c>
    </row>
    <row r="50" customFormat="false" ht="15" hidden="false" customHeight="false" outlineLevel="0" collapsed="false">
      <c r="A50" s="0" t="s">
        <v>79</v>
      </c>
      <c r="B50" s="0" t="n">
        <v>1</v>
      </c>
      <c r="C50" s="0" t="s">
        <v>49</v>
      </c>
      <c r="D50" s="7" t="n">
        <v>200</v>
      </c>
      <c r="E50" s="7" t="n">
        <f aca="false">B50*D50</f>
        <v>200</v>
      </c>
    </row>
    <row r="51" customFormat="false" ht="15" hidden="false" customHeight="false" outlineLevel="0" collapsed="false">
      <c r="A51" s="0" t="s">
        <v>80</v>
      </c>
      <c r="B51" s="0" t="n">
        <v>1</v>
      </c>
      <c r="C51" s="0" t="s">
        <v>49</v>
      </c>
      <c r="D51" s="7" t="n">
        <v>120</v>
      </c>
      <c r="E51" s="7" t="n">
        <f aca="false">B51*D51</f>
        <v>120</v>
      </c>
    </row>
    <row r="52" customFormat="false" ht="15" hidden="false" customHeight="false" outlineLevel="0" collapsed="false">
      <c r="A52" s="0" t="s">
        <v>81</v>
      </c>
      <c r="B52" s="0" t="n">
        <v>1</v>
      </c>
      <c r="C52" s="0" t="s">
        <v>49</v>
      </c>
      <c r="D52" s="7" t="n">
        <v>180</v>
      </c>
      <c r="E52" s="7" t="n">
        <f aca="false">B52*D52</f>
        <v>180</v>
      </c>
    </row>
    <row r="53" customFormat="false" ht="15" hidden="false" customHeight="false" outlineLevel="0" collapsed="false">
      <c r="A53" s="0" t="s">
        <v>82</v>
      </c>
      <c r="B53" s="0" t="n">
        <v>1</v>
      </c>
      <c r="C53" s="0" t="s">
        <v>49</v>
      </c>
      <c r="D53" s="7" t="n">
        <v>85</v>
      </c>
      <c r="E53" s="7" t="n">
        <f aca="false">B53*D53</f>
        <v>85</v>
      </c>
    </row>
    <row r="54" customFormat="false" ht="15" hidden="false" customHeight="false" outlineLevel="0" collapsed="false">
      <c r="A54" s="0" t="s">
        <v>83</v>
      </c>
      <c r="B54" s="0" t="n">
        <v>1</v>
      </c>
      <c r="C54" s="0" t="s">
        <v>42</v>
      </c>
      <c r="D54" s="7" t="n">
        <v>60</v>
      </c>
      <c r="E54" s="7" t="n">
        <f aca="false">B54*D54</f>
        <v>60</v>
      </c>
    </row>
    <row r="55" customFormat="false" ht="15" hidden="false" customHeight="false" outlineLevel="0" collapsed="false">
      <c r="A55" s="0" t="s">
        <v>84</v>
      </c>
      <c r="B55" s="0" t="n">
        <v>1</v>
      </c>
      <c r="C55" s="0" t="s">
        <v>42</v>
      </c>
      <c r="D55" s="7" t="n">
        <v>40</v>
      </c>
      <c r="E55" s="7" t="n">
        <f aca="false">B55*D55</f>
        <v>40</v>
      </c>
    </row>
    <row r="56" customFormat="false" ht="15" hidden="false" customHeight="false" outlineLevel="0" collapsed="false">
      <c r="A56" s="0" t="s">
        <v>85</v>
      </c>
      <c r="B56" s="0" t="n">
        <v>6</v>
      </c>
      <c r="C56" s="0" t="s">
        <v>49</v>
      </c>
      <c r="D56" s="7" t="n">
        <v>3</v>
      </c>
      <c r="E56" s="7" t="n">
        <f aca="false">B56*D56</f>
        <v>18</v>
      </c>
    </row>
    <row r="57" customFormat="false" ht="15" hidden="false" customHeight="false" outlineLevel="0" collapsed="false">
      <c r="A57" s="0" t="s">
        <v>86</v>
      </c>
      <c r="B57" s="0" t="n">
        <v>3</v>
      </c>
      <c r="C57" s="0" t="s">
        <v>49</v>
      </c>
      <c r="D57" s="7" t="n">
        <v>3</v>
      </c>
      <c r="E57" s="7" t="n">
        <f aca="false">B57*D57</f>
        <v>9</v>
      </c>
    </row>
    <row r="58" customFormat="false" ht="15" hidden="false" customHeight="false" outlineLevel="0" collapsed="false">
      <c r="A58" s="0" t="s">
        <v>48</v>
      </c>
      <c r="B58" s="0" t="n">
        <v>3</v>
      </c>
      <c r="C58" s="0" t="s">
        <v>49</v>
      </c>
      <c r="D58" s="7" t="n">
        <v>45</v>
      </c>
      <c r="E58" s="7" t="n">
        <f aca="false">B58*D58</f>
        <v>135</v>
      </c>
    </row>
    <row r="59" customFormat="false" ht="15" hidden="false" customHeight="false" outlineLevel="0" collapsed="false">
      <c r="A59" s="0" t="s">
        <v>87</v>
      </c>
      <c r="B59" s="0" t="n">
        <v>1</v>
      </c>
      <c r="C59" s="0" t="s">
        <v>49</v>
      </c>
      <c r="D59" s="7" t="n">
        <v>15</v>
      </c>
      <c r="E59" s="7" t="n">
        <f aca="false">B59*D59</f>
        <v>15</v>
      </c>
    </row>
    <row r="60" customFormat="false" ht="15" hidden="false" customHeight="false" outlineLevel="0" collapsed="false">
      <c r="A60" s="0" t="s">
        <v>88</v>
      </c>
      <c r="B60" s="0" t="n">
        <v>200</v>
      </c>
      <c r="C60" s="0" t="s">
        <v>89</v>
      </c>
      <c r="D60" s="7" t="n">
        <v>0.4</v>
      </c>
      <c r="E60" s="7" t="n">
        <f aca="false">B60*D60</f>
        <v>80</v>
      </c>
    </row>
    <row r="61" customFormat="false" ht="15" hidden="false" customHeight="false" outlineLevel="0" collapsed="false">
      <c r="A61" s="0" t="s">
        <v>90</v>
      </c>
      <c r="B61" s="0" t="n">
        <v>1</v>
      </c>
      <c r="C61" s="0" t="s">
        <v>42</v>
      </c>
      <c r="D61" s="7" t="n">
        <v>30</v>
      </c>
      <c r="E61" s="7" t="n">
        <f aca="false">B61*D61</f>
        <v>30</v>
      </c>
    </row>
    <row r="62" customFormat="false" ht="15" hidden="false" customHeight="false" outlineLevel="0" collapsed="false">
      <c r="A62" s="0" t="s">
        <v>91</v>
      </c>
      <c r="B62" s="0" t="n">
        <v>2</v>
      </c>
      <c r="C62" s="0" t="s">
        <v>49</v>
      </c>
      <c r="D62" s="7" t="n">
        <v>180</v>
      </c>
      <c r="E62" s="7" t="n">
        <f aca="false">B62*D62</f>
        <v>360</v>
      </c>
    </row>
    <row r="63" customFormat="false" ht="15" hidden="false" customHeight="false" outlineLevel="0" collapsed="false">
      <c r="A63" s="0" t="s">
        <v>92</v>
      </c>
      <c r="B63" s="0" t="n">
        <v>2</v>
      </c>
      <c r="C63" s="0" t="s">
        <v>49</v>
      </c>
      <c r="D63" s="7" t="n">
        <v>60</v>
      </c>
      <c r="E63" s="7" t="n">
        <f aca="false">B63*D63</f>
        <v>120</v>
      </c>
    </row>
    <row r="64" customFormat="false" ht="15" hidden="false" customHeight="false" outlineLevel="0" collapsed="false">
      <c r="A64" s="0" t="s">
        <v>93</v>
      </c>
      <c r="B64" s="0" t="n">
        <v>2</v>
      </c>
      <c r="C64" s="0" t="s">
        <v>49</v>
      </c>
      <c r="D64" s="7" t="n">
        <v>25</v>
      </c>
      <c r="E64" s="7" t="n">
        <f aca="false">B64*D64</f>
        <v>50</v>
      </c>
    </row>
    <row r="65" customFormat="false" ht="15" hidden="false" customHeight="false" outlineLevel="0" collapsed="false">
      <c r="A65" s="0" t="s">
        <v>94</v>
      </c>
      <c r="B65" s="0" t="n">
        <v>1</v>
      </c>
      <c r="C65" s="0" t="s">
        <v>42</v>
      </c>
      <c r="D65" s="7" t="n">
        <v>20</v>
      </c>
      <c r="E65" s="7" t="n">
        <f aca="false">B65*D65</f>
        <v>20</v>
      </c>
    </row>
    <row r="66" customFormat="false" ht="15" hidden="false" customHeight="false" outlineLevel="0" collapsed="false">
      <c r="A66" s="0" t="s">
        <v>95</v>
      </c>
      <c r="B66" s="0" t="n">
        <v>20</v>
      </c>
      <c r="C66" s="0" t="s">
        <v>89</v>
      </c>
      <c r="D66" s="7" t="n">
        <v>8</v>
      </c>
      <c r="E66" s="7" t="n">
        <f aca="false">B66*D66</f>
        <v>160</v>
      </c>
    </row>
    <row r="67" customFormat="false" ht="15" hidden="false" customHeight="false" outlineLevel="0" collapsed="false">
      <c r="A67" s="0" t="s">
        <v>96</v>
      </c>
      <c r="B67" s="0" t="n">
        <v>2</v>
      </c>
      <c r="C67" s="0" t="s">
        <v>49</v>
      </c>
      <c r="D67" s="7" t="n">
        <v>15</v>
      </c>
      <c r="E67" s="7" t="n">
        <f aca="false">B67*D67</f>
        <v>30</v>
      </c>
    </row>
    <row r="68" customFormat="false" ht="15" hidden="false" customHeight="false" outlineLevel="0" collapsed="false">
      <c r="A68" s="0" t="s">
        <v>97</v>
      </c>
      <c r="B68" s="0" t="n">
        <v>1</v>
      </c>
      <c r="C68" s="0" t="s">
        <v>49</v>
      </c>
      <c r="D68" s="7" t="n">
        <v>180</v>
      </c>
      <c r="E68" s="7" t="n">
        <f aca="false">B68*D68</f>
        <v>180</v>
      </c>
    </row>
    <row r="69" customFormat="false" ht="15" hidden="false" customHeight="false" outlineLevel="0" collapsed="false">
      <c r="A69" s="0" t="s">
        <v>98</v>
      </c>
      <c r="B69" s="0" t="n">
        <v>1</v>
      </c>
      <c r="C69" s="0" t="s">
        <v>42</v>
      </c>
      <c r="D69" s="7" t="n">
        <v>40</v>
      </c>
      <c r="E69" s="7" t="n">
        <f aca="false">B69*D69</f>
        <v>40</v>
      </c>
    </row>
    <row r="70" customFormat="false" ht="15" hidden="false" customHeight="false" outlineLevel="0" collapsed="false">
      <c r="A70" s="0" t="s">
        <v>99</v>
      </c>
      <c r="B70" s="0" t="n">
        <v>1</v>
      </c>
      <c r="C70" s="0" t="s">
        <v>49</v>
      </c>
      <c r="D70" s="7" t="n">
        <v>125</v>
      </c>
      <c r="E70" s="7" t="n">
        <f aca="false">B70*D70</f>
        <v>125</v>
      </c>
    </row>
    <row r="71" customFormat="false" ht="15" hidden="false" customHeight="false" outlineLevel="0" collapsed="false">
      <c r="A71" s="0" t="s">
        <v>100</v>
      </c>
      <c r="B71" s="0" t="n">
        <v>1</v>
      </c>
      <c r="C71" s="0" t="s">
        <v>101</v>
      </c>
      <c r="D71" s="7" t="n">
        <v>45</v>
      </c>
      <c r="E71" s="7" t="n">
        <f aca="false">B71*D71</f>
        <v>45</v>
      </c>
    </row>
    <row r="72" customFormat="false" ht="15" hidden="false" customHeight="false" outlineLevel="0" collapsed="false">
      <c r="A72" s="0" t="s">
        <v>102</v>
      </c>
      <c r="B72" s="0" t="n">
        <v>70</v>
      </c>
      <c r="C72" s="0" t="s">
        <v>103</v>
      </c>
      <c r="D72" s="7" t="n">
        <v>1.2</v>
      </c>
      <c r="E72" s="7" t="n">
        <f aca="false">B72*D72</f>
        <v>84</v>
      </c>
    </row>
    <row r="73" customFormat="false" ht="15" hidden="false" customHeight="false" outlineLevel="0" collapsed="false">
      <c r="A73" s="0" t="s">
        <v>104</v>
      </c>
      <c r="B73" s="0" t="n">
        <v>1</v>
      </c>
      <c r="C73" s="0" t="s">
        <v>42</v>
      </c>
      <c r="D73" s="7" t="n">
        <v>40</v>
      </c>
      <c r="E73" s="7" t="n">
        <f aca="false">B73*D73</f>
        <v>40</v>
      </c>
    </row>
    <row r="74" customFormat="false" ht="15" hidden="false" customHeight="false" outlineLevel="0" collapsed="false">
      <c r="A74" s="0" t="s">
        <v>105</v>
      </c>
      <c r="B74" s="0" t="n">
        <v>1</v>
      </c>
      <c r="C74" s="0" t="s">
        <v>42</v>
      </c>
      <c r="D74" s="7" t="n">
        <v>15</v>
      </c>
      <c r="E74" s="7" t="n">
        <f aca="false">B74*D74</f>
        <v>15</v>
      </c>
    </row>
    <row r="75" customFormat="false" ht="15" hidden="false" customHeight="false" outlineLevel="0" collapsed="false">
      <c r="A75" s="0" t="s">
        <v>106</v>
      </c>
      <c r="B75" s="0" t="n">
        <v>1</v>
      </c>
      <c r="C75" s="0" t="s">
        <v>49</v>
      </c>
      <c r="D75" s="7" t="n">
        <v>40</v>
      </c>
      <c r="E75" s="7" t="n">
        <f aca="false">B75*D75</f>
        <v>40</v>
      </c>
    </row>
    <row r="76" customFormat="false" ht="15" hidden="false" customHeight="false" outlineLevel="0" collapsed="false">
      <c r="A76" s="0" t="s">
        <v>107</v>
      </c>
      <c r="B76" s="0" t="n">
        <v>1</v>
      </c>
      <c r="C76" s="0" t="s">
        <v>101</v>
      </c>
      <c r="D76" s="7" t="n">
        <v>30</v>
      </c>
      <c r="E76" s="7" t="n">
        <f aca="false">B76*D76</f>
        <v>30</v>
      </c>
    </row>
    <row r="77" customFormat="false" ht="15" hidden="false" customHeight="false" outlineLevel="0" collapsed="false">
      <c r="A77" s="0" t="s">
        <v>108</v>
      </c>
      <c r="B77" s="0" t="n">
        <v>1</v>
      </c>
      <c r="C77" s="0" t="s">
        <v>101</v>
      </c>
      <c r="D77" s="7" t="n">
        <v>35</v>
      </c>
      <c r="E77" s="7" t="n">
        <f aca="false">B77*D77</f>
        <v>35</v>
      </c>
    </row>
    <row r="78" customFormat="false" ht="15" hidden="false" customHeight="false" outlineLevel="0" collapsed="false">
      <c r="A78" s="0" t="s">
        <v>109</v>
      </c>
      <c r="B78" s="0" t="n">
        <v>1</v>
      </c>
      <c r="C78" s="0" t="s">
        <v>110</v>
      </c>
      <c r="D78" s="7" t="n">
        <v>50</v>
      </c>
      <c r="E78" s="7" t="n">
        <f aca="false">B78*D78</f>
        <v>50</v>
      </c>
    </row>
    <row r="79" customFormat="false" ht="15" hidden="false" customHeight="false" outlineLevel="0" collapsed="false">
      <c r="A79" s="4" t="s">
        <v>52</v>
      </c>
      <c r="E79" s="10" t="n">
        <f aca="false">SUM(E34:E78)</f>
        <v>4158.7</v>
      </c>
      <c r="F79" s="3" t="n">
        <f aca="false">E79*36</f>
        <v>149713.2</v>
      </c>
    </row>
    <row r="81" customFormat="false" ht="15" hidden="false" customHeight="false" outlineLevel="0" collapsed="false">
      <c r="A81" s="4" t="s">
        <v>111</v>
      </c>
    </row>
    <row r="82" customFormat="false" ht="15" hidden="false" customHeight="false" outlineLevel="0" collapsed="false">
      <c r="A82" s="4" t="s">
        <v>54</v>
      </c>
      <c r="B82" s="4" t="s">
        <v>55</v>
      </c>
      <c r="C82" s="4" t="s">
        <v>56</v>
      </c>
      <c r="D82" s="4" t="s">
        <v>31</v>
      </c>
      <c r="E82" s="4" t="s">
        <v>32</v>
      </c>
      <c r="F82" s="4" t="s">
        <v>33</v>
      </c>
    </row>
    <row r="83" customFormat="false" ht="15" hidden="false" customHeight="false" outlineLevel="0" collapsed="false">
      <c r="A83" s="0" t="s">
        <v>112</v>
      </c>
      <c r="B83" s="0" t="n">
        <v>8</v>
      </c>
      <c r="C83" s="7" t="n">
        <v>18</v>
      </c>
      <c r="E83" s="7" t="n">
        <f aca="false">B83*C83</f>
        <v>144</v>
      </c>
    </row>
    <row r="84" customFormat="false" ht="15" hidden="false" customHeight="false" outlineLevel="0" collapsed="false">
      <c r="A84" s="0" t="s">
        <v>113</v>
      </c>
      <c r="B84" s="0" t="n">
        <v>2</v>
      </c>
      <c r="C84" s="7" t="n">
        <v>18</v>
      </c>
      <c r="E84" s="7" t="n">
        <f aca="false">B84*C84</f>
        <v>36</v>
      </c>
    </row>
    <row r="85" customFormat="false" ht="15" hidden="false" customHeight="false" outlineLevel="0" collapsed="false">
      <c r="A85" s="0" t="s">
        <v>114</v>
      </c>
      <c r="B85" s="0" t="n">
        <v>12</v>
      </c>
      <c r="C85" s="7" t="n">
        <v>25</v>
      </c>
      <c r="E85" s="7" t="n">
        <f aca="false">B85*C85</f>
        <v>300</v>
      </c>
    </row>
    <row r="86" customFormat="false" ht="15" hidden="false" customHeight="false" outlineLevel="0" collapsed="false">
      <c r="A86" s="0" t="s">
        <v>115</v>
      </c>
      <c r="B86" s="0" t="n">
        <v>12</v>
      </c>
      <c r="C86" s="7" t="n">
        <v>22</v>
      </c>
      <c r="E86" s="7" t="n">
        <f aca="false">B86*C86</f>
        <v>264</v>
      </c>
    </row>
    <row r="87" customFormat="false" ht="15" hidden="false" customHeight="false" outlineLevel="0" collapsed="false">
      <c r="A87" s="0" t="s">
        <v>116</v>
      </c>
      <c r="B87" s="0" t="n">
        <v>12</v>
      </c>
      <c r="C87" s="7" t="n">
        <v>22</v>
      </c>
      <c r="E87" s="7" t="n">
        <f aca="false">B87*C87</f>
        <v>264</v>
      </c>
    </row>
    <row r="88" customFormat="false" ht="15" hidden="false" customHeight="false" outlineLevel="0" collapsed="false">
      <c r="A88" s="0" t="s">
        <v>117</v>
      </c>
      <c r="B88" s="0" t="n">
        <v>10</v>
      </c>
      <c r="C88" s="7" t="n">
        <v>22</v>
      </c>
      <c r="E88" s="7" t="n">
        <f aca="false">B88*C88</f>
        <v>220</v>
      </c>
    </row>
    <row r="89" customFormat="false" ht="15" hidden="false" customHeight="false" outlineLevel="0" collapsed="false">
      <c r="A89" s="0" t="s">
        <v>118</v>
      </c>
      <c r="B89" s="0" t="n">
        <v>20</v>
      </c>
      <c r="C89" s="7" t="n">
        <v>30</v>
      </c>
      <c r="E89" s="7" t="n">
        <f aca="false">B89*C89</f>
        <v>600</v>
      </c>
    </row>
    <row r="90" customFormat="false" ht="15" hidden="false" customHeight="false" outlineLevel="0" collapsed="false">
      <c r="A90" s="0" t="s">
        <v>119</v>
      </c>
      <c r="B90" s="0" t="n">
        <v>24</v>
      </c>
      <c r="C90" s="7" t="n">
        <v>28</v>
      </c>
      <c r="E90" s="7" t="n">
        <f aca="false">B90*C90</f>
        <v>672</v>
      </c>
    </row>
    <row r="91" customFormat="false" ht="15" hidden="false" customHeight="false" outlineLevel="0" collapsed="false">
      <c r="A91" s="0" t="s">
        <v>120</v>
      </c>
      <c r="B91" s="0" t="n">
        <v>8</v>
      </c>
      <c r="C91" s="7" t="n">
        <v>45</v>
      </c>
      <c r="E91" s="7" t="n">
        <f aca="false">B91*C91</f>
        <v>360</v>
      </c>
    </row>
    <row r="92" customFormat="false" ht="15" hidden="false" customHeight="false" outlineLevel="0" collapsed="false">
      <c r="A92" s="0" t="s">
        <v>121</v>
      </c>
      <c r="B92" s="0" t="n">
        <v>4</v>
      </c>
      <c r="C92" s="7" t="n">
        <v>45</v>
      </c>
      <c r="E92" s="7" t="n">
        <f aca="false">B92*C92</f>
        <v>180</v>
      </c>
    </row>
    <row r="93" customFormat="false" ht="15" hidden="false" customHeight="false" outlineLevel="0" collapsed="false">
      <c r="A93" s="0" t="s">
        <v>122</v>
      </c>
      <c r="B93" s="0" t="n">
        <v>8</v>
      </c>
      <c r="C93" s="7" t="n">
        <v>50</v>
      </c>
      <c r="E93" s="7" t="n">
        <f aca="false">B93*C93</f>
        <v>400</v>
      </c>
    </row>
    <row r="94" customFormat="false" ht="15" hidden="false" customHeight="false" outlineLevel="0" collapsed="false">
      <c r="A94" s="0" t="s">
        <v>123</v>
      </c>
      <c r="B94" s="0" t="n">
        <v>4</v>
      </c>
      <c r="C94" s="7" t="n">
        <v>50</v>
      </c>
      <c r="E94" s="7" t="n">
        <f aca="false">B94*C94</f>
        <v>200</v>
      </c>
    </row>
    <row r="95" customFormat="false" ht="15" hidden="false" customHeight="false" outlineLevel="0" collapsed="false">
      <c r="A95" s="0" t="s">
        <v>124</v>
      </c>
      <c r="B95" s="0" t="n">
        <v>6</v>
      </c>
      <c r="C95" s="7" t="n">
        <v>45</v>
      </c>
      <c r="E95" s="7" t="n">
        <f aca="false">B95*C95</f>
        <v>270</v>
      </c>
    </row>
    <row r="96" customFormat="false" ht="15" hidden="false" customHeight="false" outlineLevel="0" collapsed="false">
      <c r="A96" s="0" t="s">
        <v>125</v>
      </c>
      <c r="B96" s="0" t="n">
        <v>8</v>
      </c>
      <c r="C96" s="7" t="n">
        <v>25</v>
      </c>
      <c r="E96" s="7" t="n">
        <f aca="false">B96*C96</f>
        <v>200</v>
      </c>
    </row>
    <row r="97" customFormat="false" ht="15" hidden="false" customHeight="false" outlineLevel="0" collapsed="false">
      <c r="A97" s="0" t="s">
        <v>126</v>
      </c>
      <c r="B97" s="0" t="n">
        <v>3</v>
      </c>
      <c r="C97" s="7" t="n">
        <v>18</v>
      </c>
      <c r="E97" s="7" t="n">
        <f aca="false">B97*C97</f>
        <v>54</v>
      </c>
    </row>
    <row r="98" customFormat="false" ht="15" hidden="false" customHeight="false" outlineLevel="0" collapsed="false">
      <c r="A98" s="4" t="s">
        <v>63</v>
      </c>
      <c r="E98" s="10" t="n">
        <f aca="false">SUM(E83:E97)</f>
        <v>4164</v>
      </c>
      <c r="F98" s="3" t="n">
        <f aca="false">E98*36</f>
        <v>149904</v>
      </c>
    </row>
    <row r="100" customFormat="false" ht="15" hidden="false" customHeight="false" outlineLevel="0" collapsed="false">
      <c r="A100" s="2" t="s">
        <v>127</v>
      </c>
      <c r="E100" s="10" t="n">
        <f aca="false">E79+E98</f>
        <v>8322.7</v>
      </c>
      <c r="F100" s="3" t="n">
        <f aca="false">F79+F98</f>
        <v>299617.2</v>
      </c>
    </row>
    <row r="103" customFormat="false" ht="15" hidden="false" customHeight="false" outlineLevel="0" collapsed="false">
      <c r="A103" s="2" t="s">
        <v>128</v>
      </c>
    </row>
    <row r="104" customFormat="false" ht="15" hidden="false" customHeight="false" outlineLevel="0" collapsed="false">
      <c r="A104" s="4" t="s">
        <v>28</v>
      </c>
      <c r="B104" s="4" t="s">
        <v>29</v>
      </c>
      <c r="C104" s="4" t="s">
        <v>30</v>
      </c>
      <c r="D104" s="4" t="s">
        <v>31</v>
      </c>
      <c r="E104" s="4" t="s">
        <v>32</v>
      </c>
      <c r="F104" s="4"/>
    </row>
    <row r="105" customFormat="false" ht="15" hidden="false" customHeight="false" outlineLevel="0" collapsed="false">
      <c r="A105" s="0" t="s">
        <v>129</v>
      </c>
      <c r="B105" s="0" t="n">
        <v>1</v>
      </c>
      <c r="C105" s="0" t="s">
        <v>49</v>
      </c>
      <c r="D105" s="5" t="n">
        <v>18000</v>
      </c>
      <c r="E105" s="5" t="n">
        <f aca="false">B105*D105</f>
        <v>18000</v>
      </c>
    </row>
    <row r="106" customFormat="false" ht="15" hidden="false" customHeight="false" outlineLevel="0" collapsed="false">
      <c r="A106" s="0" t="s">
        <v>130</v>
      </c>
      <c r="B106" s="0" t="n">
        <v>1</v>
      </c>
      <c r="C106" s="0" t="s">
        <v>42</v>
      </c>
      <c r="D106" s="5" t="n">
        <v>8000</v>
      </c>
      <c r="E106" s="5" t="n">
        <f aca="false">B106*D106</f>
        <v>8000</v>
      </c>
    </row>
    <row r="107" customFormat="false" ht="15" hidden="false" customHeight="false" outlineLevel="0" collapsed="false">
      <c r="A107" s="0" t="s">
        <v>131</v>
      </c>
      <c r="B107" s="0" t="n">
        <v>1</v>
      </c>
      <c r="C107" s="0" t="s">
        <v>42</v>
      </c>
      <c r="D107" s="5" t="n">
        <v>6000</v>
      </c>
      <c r="E107" s="5" t="n">
        <f aca="false">B107*D107</f>
        <v>6000</v>
      </c>
    </row>
    <row r="108" customFormat="false" ht="15" hidden="false" customHeight="false" outlineLevel="0" collapsed="false">
      <c r="A108" s="4" t="s">
        <v>132</v>
      </c>
      <c r="E108" s="3" t="n">
        <f aca="false">SUM(E105:E107)</f>
        <v>32000</v>
      </c>
    </row>
    <row r="111" customFormat="false" ht="15" hidden="false" customHeight="false" outlineLevel="0" collapsed="false">
      <c r="A111" s="2" t="s">
        <v>133</v>
      </c>
    </row>
    <row r="112" customFormat="false" ht="15" hidden="false" customHeight="false" outlineLevel="0" collapsed="false">
      <c r="A112" s="4" t="s">
        <v>134</v>
      </c>
    </row>
    <row r="113" customFormat="false" ht="15" hidden="false" customHeight="false" outlineLevel="0" collapsed="false">
      <c r="A113" s="4" t="s">
        <v>28</v>
      </c>
      <c r="B113" s="4" t="s">
        <v>29</v>
      </c>
      <c r="C113" s="4" t="s">
        <v>30</v>
      </c>
      <c r="D113" s="4" t="s">
        <v>31</v>
      </c>
      <c r="E113" s="4" t="s">
        <v>32</v>
      </c>
      <c r="F113" s="4"/>
    </row>
    <row r="114" customFormat="false" ht="15" hidden="false" customHeight="false" outlineLevel="0" collapsed="false">
      <c r="A114" s="0" t="s">
        <v>135</v>
      </c>
      <c r="B114" s="0" t="n">
        <v>6</v>
      </c>
      <c r="C114" s="0" t="s">
        <v>49</v>
      </c>
      <c r="D114" s="5" t="n">
        <v>2000</v>
      </c>
      <c r="E114" s="5" t="n">
        <f aca="false">B114*D114</f>
        <v>12000</v>
      </c>
    </row>
    <row r="115" customFormat="false" ht="15" hidden="false" customHeight="false" outlineLevel="0" collapsed="false">
      <c r="A115" s="0" t="s">
        <v>136</v>
      </c>
      <c r="B115" s="0" t="n">
        <v>6</v>
      </c>
      <c r="C115" s="0" t="s">
        <v>49</v>
      </c>
      <c r="D115" s="5" t="n">
        <v>1800</v>
      </c>
      <c r="E115" s="5" t="n">
        <f aca="false">B115*D115</f>
        <v>10800</v>
      </c>
    </row>
    <row r="116" customFormat="false" ht="15" hidden="false" customHeight="false" outlineLevel="0" collapsed="false">
      <c r="A116" s="0" t="s">
        <v>137</v>
      </c>
      <c r="B116" s="0" t="n">
        <v>1</v>
      </c>
      <c r="C116" s="0" t="s">
        <v>42</v>
      </c>
      <c r="D116" s="5" t="n">
        <v>4000</v>
      </c>
      <c r="E116" s="5" t="n">
        <f aca="false">B116*D116</f>
        <v>4000</v>
      </c>
    </row>
    <row r="117" customFormat="false" ht="15" hidden="false" customHeight="false" outlineLevel="0" collapsed="false">
      <c r="A117" s="0" t="s">
        <v>138</v>
      </c>
      <c r="B117" s="0" t="n">
        <v>1</v>
      </c>
      <c r="C117" s="0" t="s">
        <v>42</v>
      </c>
      <c r="D117" s="5" t="n">
        <v>3000</v>
      </c>
      <c r="E117" s="5" t="n">
        <f aca="false">B117*D117</f>
        <v>3000</v>
      </c>
    </row>
    <row r="118" customFormat="false" ht="15" hidden="false" customHeight="false" outlineLevel="0" collapsed="false">
      <c r="A118" s="0" t="s">
        <v>139</v>
      </c>
      <c r="B118" s="0" t="n">
        <v>1</v>
      </c>
      <c r="C118" s="0" t="s">
        <v>42</v>
      </c>
      <c r="D118" s="5" t="n">
        <v>2500</v>
      </c>
      <c r="E118" s="5" t="n">
        <f aca="false">B118*D118</f>
        <v>2500</v>
      </c>
    </row>
    <row r="119" customFormat="false" ht="15" hidden="false" customHeight="false" outlineLevel="0" collapsed="false">
      <c r="A119" s="0" t="s">
        <v>140</v>
      </c>
      <c r="B119" s="0" t="n">
        <v>200</v>
      </c>
      <c r="C119" s="0" t="s">
        <v>72</v>
      </c>
      <c r="D119" s="5" t="n">
        <v>4</v>
      </c>
      <c r="E119" s="5" t="n">
        <f aca="false">B119*D119</f>
        <v>800</v>
      </c>
    </row>
    <row r="120" customFormat="false" ht="15" hidden="false" customHeight="false" outlineLevel="0" collapsed="false">
      <c r="A120" s="0" t="s">
        <v>141</v>
      </c>
      <c r="B120" s="0" t="n">
        <v>1</v>
      </c>
      <c r="C120" s="0" t="s">
        <v>42</v>
      </c>
      <c r="D120" s="5" t="n">
        <v>1000</v>
      </c>
      <c r="E120" s="5" t="n">
        <f aca="false">B120*D120</f>
        <v>1000</v>
      </c>
    </row>
    <row r="121" customFormat="false" ht="15" hidden="false" customHeight="false" outlineLevel="0" collapsed="false">
      <c r="A121" s="0" t="s">
        <v>142</v>
      </c>
      <c r="B121" s="0" t="n">
        <v>1</v>
      </c>
      <c r="C121" s="0" t="s">
        <v>143</v>
      </c>
      <c r="D121" s="5" t="n">
        <v>5000</v>
      </c>
      <c r="E121" s="5" t="n">
        <f aca="false">B121*D121</f>
        <v>5000</v>
      </c>
    </row>
    <row r="122" customFormat="false" ht="15" hidden="false" customHeight="false" outlineLevel="0" collapsed="false">
      <c r="A122" s="0" t="s">
        <v>131</v>
      </c>
      <c r="B122" s="0" t="n">
        <v>1</v>
      </c>
      <c r="C122" s="0" t="s">
        <v>42</v>
      </c>
      <c r="D122" s="5" t="n">
        <v>8000</v>
      </c>
      <c r="E122" s="5" t="n">
        <f aca="false">B122*D122</f>
        <v>8000</v>
      </c>
    </row>
    <row r="123" customFormat="false" ht="15" hidden="false" customHeight="false" outlineLevel="0" collapsed="false">
      <c r="A123" s="4" t="s">
        <v>144</v>
      </c>
      <c r="E123" s="3" t="n">
        <f aca="false">SUM(E114:E122)</f>
        <v>47100</v>
      </c>
    </row>
    <row r="125" customFormat="false" ht="15" hidden="false" customHeight="false" outlineLevel="0" collapsed="false">
      <c r="A125" s="4" t="s">
        <v>145</v>
      </c>
    </row>
    <row r="126" customFormat="false" ht="15" hidden="false" customHeight="false" outlineLevel="0" collapsed="false">
      <c r="A126" s="4" t="s">
        <v>28</v>
      </c>
      <c r="B126" s="4" t="s">
        <v>29</v>
      </c>
      <c r="C126" s="4" t="s">
        <v>30</v>
      </c>
      <c r="D126" s="4" t="s">
        <v>31</v>
      </c>
      <c r="E126" s="4" t="s">
        <v>32</v>
      </c>
      <c r="F126" s="4"/>
    </row>
    <row r="127" customFormat="false" ht="15" hidden="false" customHeight="false" outlineLevel="0" collapsed="false">
      <c r="A127" s="0" t="s">
        <v>146</v>
      </c>
      <c r="B127" s="0" t="n">
        <v>2</v>
      </c>
      <c r="C127" s="0" t="s">
        <v>49</v>
      </c>
      <c r="D127" s="5" t="n">
        <v>1500</v>
      </c>
      <c r="E127" s="5" t="n">
        <f aca="false">B127*D127</f>
        <v>3000</v>
      </c>
    </row>
    <row r="128" customFormat="false" ht="15" hidden="false" customHeight="false" outlineLevel="0" collapsed="false">
      <c r="A128" s="0" t="s">
        <v>147</v>
      </c>
      <c r="B128" s="0" t="n">
        <v>2</v>
      </c>
      <c r="C128" s="0" t="s">
        <v>49</v>
      </c>
      <c r="D128" s="5" t="n">
        <v>1000</v>
      </c>
      <c r="E128" s="5" t="n">
        <f aca="false">B128*D128</f>
        <v>2000</v>
      </c>
    </row>
    <row r="129" customFormat="false" ht="15" hidden="false" customHeight="false" outlineLevel="0" collapsed="false">
      <c r="A129" s="0" t="s">
        <v>148</v>
      </c>
      <c r="B129" s="0" t="n">
        <v>1</v>
      </c>
      <c r="C129" s="0" t="s">
        <v>42</v>
      </c>
      <c r="D129" s="5" t="n">
        <v>8000</v>
      </c>
      <c r="E129" s="5" t="n">
        <f aca="false">B129*D129</f>
        <v>8000</v>
      </c>
    </row>
    <row r="130" customFormat="false" ht="15" hidden="false" customHeight="false" outlineLevel="0" collapsed="false">
      <c r="A130" s="0" t="s">
        <v>149</v>
      </c>
      <c r="B130" s="0" t="n">
        <v>1</v>
      </c>
      <c r="C130" s="0" t="s">
        <v>42</v>
      </c>
      <c r="D130" s="5" t="n">
        <v>1500</v>
      </c>
      <c r="E130" s="5" t="n">
        <f aca="false">B130*D130</f>
        <v>1500</v>
      </c>
    </row>
    <row r="131" customFormat="false" ht="15" hidden="false" customHeight="false" outlineLevel="0" collapsed="false">
      <c r="A131" s="0" t="s">
        <v>150</v>
      </c>
      <c r="B131" s="0" t="n">
        <v>1</v>
      </c>
      <c r="C131" s="0" t="s">
        <v>42</v>
      </c>
      <c r="D131" s="5" t="n">
        <v>3000</v>
      </c>
      <c r="E131" s="5" t="n">
        <f aca="false">B131*D131</f>
        <v>3000</v>
      </c>
    </row>
    <row r="132" customFormat="false" ht="15" hidden="false" customHeight="false" outlineLevel="0" collapsed="false">
      <c r="A132" s="0" t="s">
        <v>61</v>
      </c>
      <c r="B132" s="0" t="n">
        <v>1</v>
      </c>
      <c r="C132" s="0" t="s">
        <v>42</v>
      </c>
      <c r="D132" s="5" t="n">
        <v>2500</v>
      </c>
      <c r="E132" s="5" t="n">
        <f aca="false">B132*D132</f>
        <v>2500</v>
      </c>
    </row>
    <row r="133" customFormat="false" ht="15" hidden="false" customHeight="false" outlineLevel="0" collapsed="false">
      <c r="A133" s="0" t="s">
        <v>151</v>
      </c>
      <c r="B133" s="0" t="n">
        <v>1</v>
      </c>
      <c r="C133" s="0" t="s">
        <v>143</v>
      </c>
      <c r="D133" s="5" t="n">
        <v>4000</v>
      </c>
      <c r="E133" s="5" t="n">
        <f aca="false">B133*D133</f>
        <v>4000</v>
      </c>
    </row>
    <row r="134" customFormat="false" ht="15" hidden="false" customHeight="false" outlineLevel="0" collapsed="false">
      <c r="A134" s="0" t="s">
        <v>152</v>
      </c>
      <c r="B134" s="0" t="n">
        <v>1</v>
      </c>
      <c r="C134" s="0" t="s">
        <v>42</v>
      </c>
      <c r="D134" s="5" t="n">
        <v>6000</v>
      </c>
      <c r="E134" s="5" t="n">
        <f aca="false">B134*D134</f>
        <v>6000</v>
      </c>
    </row>
    <row r="135" customFormat="false" ht="15" hidden="false" customHeight="false" outlineLevel="0" collapsed="false">
      <c r="A135" s="0" t="s">
        <v>131</v>
      </c>
      <c r="B135" s="0" t="n">
        <v>1</v>
      </c>
      <c r="C135" s="0" t="s">
        <v>42</v>
      </c>
      <c r="D135" s="5" t="n">
        <v>8000</v>
      </c>
      <c r="E135" s="5" t="n">
        <f aca="false">B135*D135</f>
        <v>8000</v>
      </c>
    </row>
    <row r="136" customFormat="false" ht="15" hidden="false" customHeight="false" outlineLevel="0" collapsed="false">
      <c r="A136" s="4" t="s">
        <v>153</v>
      </c>
      <c r="E136" s="3" t="n">
        <f aca="false">SUM(E127:E135)</f>
        <v>38000</v>
      </c>
    </row>
    <row r="139" customFormat="false" ht="15" hidden="false" customHeight="false" outlineLevel="0" collapsed="false">
      <c r="A139" s="2" t="s">
        <v>154</v>
      </c>
    </row>
    <row r="140" customFormat="false" ht="15" hidden="false" customHeight="false" outlineLevel="0" collapsed="false">
      <c r="A140" s="4" t="s">
        <v>28</v>
      </c>
      <c r="B140" s="4" t="s">
        <v>29</v>
      </c>
      <c r="C140" s="4" t="s">
        <v>30</v>
      </c>
      <c r="D140" s="4" t="s">
        <v>31</v>
      </c>
      <c r="E140" s="4" t="s">
        <v>32</v>
      </c>
      <c r="F140" s="4"/>
    </row>
    <row r="141" customFormat="false" ht="15" hidden="false" customHeight="false" outlineLevel="0" collapsed="false">
      <c r="A141" s="0" t="s">
        <v>155</v>
      </c>
      <c r="B141" s="0" t="n">
        <v>1</v>
      </c>
      <c r="C141" s="0" t="s">
        <v>42</v>
      </c>
      <c r="D141" s="5" t="n">
        <v>3000</v>
      </c>
      <c r="E141" s="5" t="n">
        <f aca="false">B141*D141</f>
        <v>3000</v>
      </c>
    </row>
    <row r="142" customFormat="false" ht="15" hidden="false" customHeight="false" outlineLevel="0" collapsed="false">
      <c r="A142" s="0" t="s">
        <v>156</v>
      </c>
      <c r="B142" s="0" t="n">
        <v>1</v>
      </c>
      <c r="C142" s="0" t="s">
        <v>42</v>
      </c>
      <c r="D142" s="5" t="n">
        <v>5000</v>
      </c>
      <c r="E142" s="5" t="n">
        <f aca="false">B142*D142</f>
        <v>5000</v>
      </c>
    </row>
    <row r="143" customFormat="false" ht="15" hidden="false" customHeight="false" outlineLevel="0" collapsed="false">
      <c r="A143" s="0" t="s">
        <v>157</v>
      </c>
      <c r="B143" s="0" t="n">
        <v>1</v>
      </c>
      <c r="C143" s="0" t="s">
        <v>42</v>
      </c>
      <c r="D143" s="5" t="n">
        <v>2000</v>
      </c>
      <c r="E143" s="5" t="n">
        <f aca="false">B143*D143</f>
        <v>2000</v>
      </c>
    </row>
    <row r="144" customFormat="false" ht="15" hidden="false" customHeight="false" outlineLevel="0" collapsed="false">
      <c r="A144" s="0" t="s">
        <v>158</v>
      </c>
      <c r="B144" s="0" t="n">
        <v>1</v>
      </c>
      <c r="C144" s="0" t="s">
        <v>42</v>
      </c>
      <c r="D144" s="5" t="n">
        <v>15000</v>
      </c>
      <c r="E144" s="5" t="n">
        <f aca="false">B144*D144</f>
        <v>15000</v>
      </c>
    </row>
    <row r="145" customFormat="false" ht="15" hidden="false" customHeight="false" outlineLevel="0" collapsed="false">
      <c r="A145" s="4" t="s">
        <v>159</v>
      </c>
      <c r="E145" s="3" t="n">
        <f aca="false">SUM(E141:E144)</f>
        <v>25000</v>
      </c>
    </row>
    <row r="148" customFormat="false" ht="17.35" hidden="false" customHeight="false" outlineLevel="0" collapsed="false">
      <c r="A148" s="9" t="s">
        <v>160</v>
      </c>
    </row>
    <row r="149" customFormat="false" ht="15" hidden="false" customHeight="false" outlineLevel="0" collapsed="false">
      <c r="A149" s="4" t="s">
        <v>161</v>
      </c>
      <c r="E149" s="4" t="s">
        <v>162</v>
      </c>
    </row>
    <row r="150" customFormat="false" ht="15" hidden="false" customHeight="false" outlineLevel="0" collapsed="false">
      <c r="A150" s="0" t="s">
        <v>163</v>
      </c>
      <c r="E150" s="5" t="n">
        <f aca="false">F29</f>
        <v>8516.9</v>
      </c>
    </row>
    <row r="151" customFormat="false" ht="15" hidden="false" customHeight="false" outlineLevel="0" collapsed="false">
      <c r="A151" s="0" t="s">
        <v>164</v>
      </c>
      <c r="E151" s="5" t="n">
        <f aca="false">F100</f>
        <v>299617.2</v>
      </c>
    </row>
    <row r="152" customFormat="false" ht="15" hidden="false" customHeight="false" outlineLevel="0" collapsed="false">
      <c r="A152" s="0" t="s">
        <v>165</v>
      </c>
      <c r="E152" s="5" t="n">
        <f aca="false">E108</f>
        <v>32000</v>
      </c>
    </row>
    <row r="153" customFormat="false" ht="15" hidden="false" customHeight="false" outlineLevel="0" collapsed="false">
      <c r="A153" s="0" t="s">
        <v>166</v>
      </c>
      <c r="E153" s="5" t="n">
        <f aca="false">E123</f>
        <v>47100</v>
      </c>
    </row>
    <row r="154" customFormat="false" ht="15" hidden="false" customHeight="false" outlineLevel="0" collapsed="false">
      <c r="A154" s="0" t="s">
        <v>167</v>
      </c>
      <c r="E154" s="5" t="n">
        <f aca="false">E136</f>
        <v>38000</v>
      </c>
    </row>
    <row r="155" customFormat="false" ht="15" hidden="false" customHeight="false" outlineLevel="0" collapsed="false">
      <c r="A155" s="0" t="s">
        <v>168</v>
      </c>
      <c r="E155" s="5" t="n">
        <f aca="false">E145</f>
        <v>25000</v>
      </c>
    </row>
    <row r="156" customFormat="false" ht="15" hidden="false" customHeight="false" outlineLevel="0" collapsed="false">
      <c r="A156" s="4" t="s">
        <v>169</v>
      </c>
      <c r="E156" s="3" t="n">
        <f aca="false">SUM(E150:E155)</f>
        <v>450234.1</v>
      </c>
    </row>
    <row r="157" customFormat="false" ht="15" hidden="false" customHeight="false" outlineLevel="0" collapsed="false">
      <c r="A157" s="0" t="s">
        <v>170</v>
      </c>
      <c r="E157" s="5" t="n">
        <f aca="false">E156*0.1</f>
        <v>45023.41</v>
      </c>
    </row>
    <row r="158" customFormat="false" ht="15" hidden="false" customHeight="false" outlineLevel="0" collapsed="false">
      <c r="A158" s="2" t="s">
        <v>171</v>
      </c>
      <c r="E158" s="11" t="n">
        <f aca="false">E156+E157</f>
        <v>495257.51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7.35" hidden="false" customHeight="false" outlineLevel="0" collapsed="false">
      <c r="A1" s="9" t="s">
        <v>172</v>
      </c>
    </row>
    <row r="3" customFormat="false" ht="15" hidden="false" customHeight="false" outlineLevel="0" collapsed="false">
      <c r="A3" s="4" t="s">
        <v>173</v>
      </c>
    </row>
    <row r="4" customFormat="false" ht="15" hidden="false" customHeight="false" outlineLevel="0" collapsed="false">
      <c r="A4" s="0" t="s">
        <v>174</v>
      </c>
      <c r="B4" s="0" t="n">
        <v>18</v>
      </c>
    </row>
    <row r="5" customFormat="false" ht="15" hidden="false" customHeight="false" outlineLevel="0" collapsed="false">
      <c r="A5" s="0" t="s">
        <v>175</v>
      </c>
      <c r="B5" s="0" t="n">
        <v>24</v>
      </c>
    </row>
    <row r="6" customFormat="false" ht="15" hidden="false" customHeight="false" outlineLevel="0" collapsed="false">
      <c r="A6" s="0" t="s">
        <v>176</v>
      </c>
      <c r="B6" s="12" t="n">
        <f aca="false">B4/B5</f>
        <v>0.75</v>
      </c>
    </row>
    <row r="8" customFormat="false" ht="15" hidden="false" customHeight="false" outlineLevel="0" collapsed="false">
      <c r="A8" s="4" t="s">
        <v>177</v>
      </c>
    </row>
    <row r="9" customFormat="false" ht="15" hidden="false" customHeight="false" outlineLevel="0" collapsed="false">
      <c r="A9" s="0" t="s">
        <v>178</v>
      </c>
      <c r="B9" s="5" t="n">
        <v>15340</v>
      </c>
    </row>
    <row r="10" customFormat="false" ht="15" hidden="false" customHeight="false" outlineLevel="0" collapsed="false">
      <c r="A10" s="0" t="s">
        <v>179</v>
      </c>
      <c r="B10" s="5" t="n">
        <f aca="false">B9*12</f>
        <v>184080</v>
      </c>
    </row>
    <row r="12" customFormat="false" ht="15" hidden="false" customHeight="false" outlineLevel="0" collapsed="false">
      <c r="A12" s="4" t="s">
        <v>180</v>
      </c>
    </row>
    <row r="13" customFormat="false" ht="15" hidden="false" customHeight="false" outlineLevel="0" collapsed="false">
      <c r="A13" s="0" t="s">
        <v>181</v>
      </c>
      <c r="B13" s="5" t="n">
        <v>4792</v>
      </c>
    </row>
    <row r="14" customFormat="false" ht="15" hidden="false" customHeight="false" outlineLevel="0" collapsed="false">
      <c r="A14" s="0" t="s">
        <v>182</v>
      </c>
      <c r="B14" s="5" t="n">
        <v>3000</v>
      </c>
    </row>
    <row r="15" customFormat="false" ht="15" hidden="false" customHeight="false" outlineLevel="0" collapsed="false">
      <c r="A15" s="0" t="s">
        <v>183</v>
      </c>
      <c r="B15" s="5" t="n">
        <v>960</v>
      </c>
    </row>
    <row r="16" customFormat="false" ht="15" hidden="false" customHeight="false" outlineLevel="0" collapsed="false">
      <c r="A16" s="0" t="s">
        <v>184</v>
      </c>
      <c r="B16" s="5" t="n">
        <v>278</v>
      </c>
    </row>
    <row r="17" customFormat="false" ht="15" hidden="false" customHeight="false" outlineLevel="0" collapsed="false">
      <c r="A17" s="0" t="s">
        <v>185</v>
      </c>
      <c r="B17" s="5" t="n">
        <v>991</v>
      </c>
    </row>
    <row r="18" customFormat="false" ht="15" hidden="false" customHeight="false" outlineLevel="0" collapsed="false">
      <c r="A18" s="0" t="s">
        <v>186</v>
      </c>
      <c r="B18" s="5" t="n">
        <v>322</v>
      </c>
    </row>
    <row r="19" customFormat="false" ht="15" hidden="false" customHeight="false" outlineLevel="0" collapsed="false">
      <c r="A19" s="0" t="s">
        <v>187</v>
      </c>
      <c r="B19" s="5" t="n">
        <v>110</v>
      </c>
    </row>
    <row r="20" customFormat="false" ht="15" hidden="false" customHeight="false" outlineLevel="0" collapsed="false">
      <c r="A20" s="0" t="s">
        <v>188</v>
      </c>
      <c r="B20" s="5" t="n">
        <v>1000</v>
      </c>
    </row>
    <row r="21" customFormat="false" ht="15" hidden="false" customHeight="false" outlineLevel="0" collapsed="false">
      <c r="A21" s="4" t="s">
        <v>189</v>
      </c>
      <c r="B21" s="3" t="n">
        <f aca="false">SUM(B13:B20)</f>
        <v>11453</v>
      </c>
    </row>
    <row r="22" customFormat="false" ht="15" hidden="false" customHeight="false" outlineLevel="0" collapsed="false">
      <c r="A22" s="0" t="s">
        <v>190</v>
      </c>
      <c r="B22" s="5" t="n">
        <f aca="false">B21*12</f>
        <v>137436</v>
      </c>
    </row>
    <row r="24" customFormat="false" ht="15" hidden="false" customHeight="false" outlineLevel="0" collapsed="false">
      <c r="A24" s="2" t="s">
        <v>191</v>
      </c>
    </row>
    <row r="25" customFormat="false" ht="15" hidden="false" customHeight="false" outlineLevel="0" collapsed="false">
      <c r="A25" s="0" t="s">
        <v>192</v>
      </c>
      <c r="B25" s="3" t="n">
        <f aca="false">B10-B22</f>
        <v>46644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7.35" hidden="false" customHeight="false" outlineLevel="0" collapsed="false">
      <c r="A1" s="9" t="s">
        <v>193</v>
      </c>
    </row>
    <row r="3" customFormat="false" ht="15" hidden="false" customHeight="false" outlineLevel="0" collapsed="false">
      <c r="A3" s="4" t="s">
        <v>194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</row>
    <row r="4" customFormat="false" ht="15" hidden="false" customHeight="false" outlineLevel="0" collapsed="false">
      <c r="A4" s="0" t="n">
        <v>1</v>
      </c>
      <c r="B4" s="0" t="n">
        <v>1</v>
      </c>
      <c r="C4" s="0" t="n">
        <v>24</v>
      </c>
      <c r="D4" s="12" t="n">
        <v>0.5625</v>
      </c>
      <c r="E4" s="5" t="n">
        <v>852</v>
      </c>
      <c r="F4" s="5" t="n">
        <f aca="false">C4*D4*E4</f>
        <v>11502</v>
      </c>
      <c r="G4" s="5" t="n">
        <f aca="false">'Laundry Revenue'!G10</f>
        <v>464.4</v>
      </c>
      <c r="H4" s="5" t="n">
        <f aca="false">F4+G4</f>
        <v>11966.4</v>
      </c>
      <c r="I4" s="5" t="n">
        <f aca="false">F4-G4</f>
        <v>11037.6</v>
      </c>
      <c r="J4" s="5" t="n">
        <f aca="false">H4-I4</f>
        <v>928.799999999999</v>
      </c>
      <c r="K4" s="5" t="n">
        <f aca="false">H4-I4</f>
        <v>928.799999999999</v>
      </c>
      <c r="L4" s="5" t="n">
        <f aca="false">J4-K4</f>
        <v>0</v>
      </c>
      <c r="M4" s="13" t="n">
        <f aca="false">IF(K4=0,0,J4/K4)</f>
        <v>1</v>
      </c>
    </row>
    <row r="5" customFormat="false" ht="15" hidden="false" customHeight="false" outlineLevel="0" collapsed="false">
      <c r="A5" s="0" t="n">
        <v>1</v>
      </c>
      <c r="B5" s="0" t="n">
        <v>2</v>
      </c>
      <c r="C5" s="0" t="n">
        <v>31</v>
      </c>
      <c r="D5" s="12" t="n">
        <v>0.5625</v>
      </c>
      <c r="E5" s="5" t="n">
        <v>852</v>
      </c>
      <c r="F5" s="5" t="n">
        <f aca="false">C5*D5*E5</f>
        <v>14856.75</v>
      </c>
      <c r="G5" s="5" t="n">
        <f aca="false">'Laundry Revenue'!G11</f>
        <v>464.4</v>
      </c>
      <c r="H5" s="5" t="n">
        <f aca="false">F5+G5</f>
        <v>15321.15</v>
      </c>
      <c r="I5" s="5" t="n">
        <f aca="false">F5-G5</f>
        <v>14392.35</v>
      </c>
      <c r="J5" s="5" t="n">
        <f aca="false">H5-I5</f>
        <v>928.799999999999</v>
      </c>
      <c r="K5" s="5" t="n">
        <f aca="false">H5-I5</f>
        <v>928.799999999999</v>
      </c>
      <c r="L5" s="5" t="n">
        <f aca="false">J5-K5</f>
        <v>0</v>
      </c>
      <c r="M5" s="13" t="n">
        <f aca="false">IF(K5=0,0,J5/K5)</f>
        <v>1</v>
      </c>
    </row>
    <row r="6" customFormat="false" ht="15" hidden="false" customHeight="false" outlineLevel="0" collapsed="false">
      <c r="A6" s="0" t="n">
        <v>1</v>
      </c>
      <c r="B6" s="0" t="n">
        <v>3</v>
      </c>
      <c r="C6" s="0" t="n">
        <v>38</v>
      </c>
      <c r="D6" s="12" t="n">
        <v>0.5625</v>
      </c>
      <c r="E6" s="5" t="n">
        <v>852</v>
      </c>
      <c r="F6" s="5" t="n">
        <f aca="false">C6*D6*E6</f>
        <v>18211.5</v>
      </c>
      <c r="G6" s="5" t="n">
        <f aca="false">'Laundry Revenue'!G12</f>
        <v>599.85</v>
      </c>
      <c r="H6" s="5" t="n">
        <f aca="false">F6+G6</f>
        <v>18811.35</v>
      </c>
      <c r="I6" s="5" t="n">
        <f aca="false">F6-G6</f>
        <v>17611.65</v>
      </c>
      <c r="J6" s="5" t="n">
        <f aca="false">H6-I6</f>
        <v>1199.7</v>
      </c>
      <c r="K6" s="5" t="n">
        <f aca="false">H6-I6</f>
        <v>1199.7</v>
      </c>
      <c r="L6" s="5" t="n">
        <f aca="false">J6-K6</f>
        <v>0</v>
      </c>
      <c r="M6" s="13" t="n">
        <f aca="false">IF(K6=0,0,J6/K6)</f>
        <v>1</v>
      </c>
    </row>
    <row r="7" customFormat="false" ht="15" hidden="false" customHeight="false" outlineLevel="0" collapsed="false">
      <c r="A7" s="0" t="n">
        <v>1</v>
      </c>
      <c r="B7" s="0" t="n">
        <v>4</v>
      </c>
      <c r="C7" s="0" t="n">
        <v>46</v>
      </c>
      <c r="D7" s="12" t="n">
        <v>0.5625</v>
      </c>
      <c r="E7" s="5" t="n">
        <v>852</v>
      </c>
      <c r="F7" s="5" t="n">
        <f aca="false">C7*D7*E7</f>
        <v>22045.5</v>
      </c>
      <c r="G7" s="5" t="n">
        <f aca="false">'Laundry Revenue'!G13</f>
        <v>599.85</v>
      </c>
      <c r="H7" s="5" t="n">
        <f aca="false">F7+G7</f>
        <v>22645.35</v>
      </c>
      <c r="I7" s="5" t="n">
        <f aca="false">F7-G7</f>
        <v>21445.65</v>
      </c>
      <c r="J7" s="5" t="n">
        <f aca="false">H7-I7</f>
        <v>1199.7</v>
      </c>
      <c r="K7" s="5" t="n">
        <f aca="false">H7-I7</f>
        <v>1199.7</v>
      </c>
      <c r="L7" s="5" t="n">
        <f aca="false">J7-K7</f>
        <v>0</v>
      </c>
      <c r="M7" s="13" t="n">
        <f aca="false">IF(K7=0,0,J7/K7)</f>
        <v>1</v>
      </c>
    </row>
    <row r="8" customFormat="false" ht="15" hidden="false" customHeight="false" outlineLevel="0" collapsed="false">
      <c r="A8" s="0" t="n">
        <v>1</v>
      </c>
      <c r="B8" s="0" t="n">
        <v>5</v>
      </c>
      <c r="C8" s="0" t="n">
        <v>53</v>
      </c>
      <c r="D8" s="12" t="n">
        <v>0.5625</v>
      </c>
      <c r="E8" s="5" t="n">
        <v>852</v>
      </c>
      <c r="F8" s="5" t="n">
        <f aca="false">C8*D8*E8</f>
        <v>25400.25</v>
      </c>
      <c r="G8" s="5" t="n">
        <f aca="false">'Laundry Revenue'!G14</f>
        <v>599.85</v>
      </c>
      <c r="H8" s="5" t="n">
        <f aca="false">F8+G8</f>
        <v>26000.1</v>
      </c>
      <c r="I8" s="5" t="n">
        <f aca="false">F8-G8</f>
        <v>24800.4</v>
      </c>
      <c r="J8" s="5" t="n">
        <f aca="false">H8-I8</f>
        <v>1199.7</v>
      </c>
      <c r="K8" s="5" t="n">
        <f aca="false">H8-I8</f>
        <v>1199.7</v>
      </c>
      <c r="L8" s="5" t="n">
        <f aca="false">J8-K8</f>
        <v>0</v>
      </c>
      <c r="M8" s="13" t="n">
        <f aca="false">IF(K8=0,0,J8/K8)</f>
        <v>1</v>
      </c>
    </row>
    <row r="9" customFormat="false" ht="15" hidden="false" customHeight="false" outlineLevel="0" collapsed="false">
      <c r="A9" s="0" t="n">
        <v>1</v>
      </c>
      <c r="B9" s="0" t="n">
        <v>6</v>
      </c>
      <c r="C9" s="0" t="n">
        <v>60</v>
      </c>
      <c r="D9" s="12" t="n">
        <v>0.5625</v>
      </c>
      <c r="E9" s="5" t="n">
        <v>852</v>
      </c>
      <c r="F9" s="5" t="n">
        <f aca="false">C9*D9*E9</f>
        <v>28755</v>
      </c>
      <c r="G9" s="5" t="n">
        <f aca="false">'Laundry Revenue'!G15</f>
        <v>599.85</v>
      </c>
      <c r="H9" s="5" t="n">
        <f aca="false">F9+G9</f>
        <v>29354.85</v>
      </c>
      <c r="I9" s="5" t="n">
        <f aca="false">F9-G9</f>
        <v>28155.15</v>
      </c>
      <c r="J9" s="5" t="n">
        <f aca="false">H9-I9</f>
        <v>1199.7</v>
      </c>
      <c r="K9" s="5" t="n">
        <f aca="false">H9-I9</f>
        <v>1199.7</v>
      </c>
      <c r="L9" s="5" t="n">
        <f aca="false">J9-K9</f>
        <v>0</v>
      </c>
      <c r="M9" s="13" t="n">
        <f aca="false">IF(K9=0,0,J9/K9)</f>
        <v>1</v>
      </c>
    </row>
    <row r="10" customFormat="false" ht="15" hidden="false" customHeight="false" outlineLevel="0" collapsed="false">
      <c r="A10" s="0" t="n">
        <v>1</v>
      </c>
      <c r="B10" s="0" t="n">
        <v>7</v>
      </c>
      <c r="C10" s="0" t="n">
        <v>67</v>
      </c>
      <c r="D10" s="12" t="n">
        <v>0.7</v>
      </c>
      <c r="E10" s="5" t="n">
        <v>850</v>
      </c>
      <c r="F10" s="5" t="n">
        <f aca="false">C10*D10*E10</f>
        <v>39865</v>
      </c>
      <c r="G10" s="5" t="n">
        <f aca="false">'Laundry Revenue'!G16</f>
        <v>870.75</v>
      </c>
      <c r="H10" s="5" t="n">
        <f aca="false">F10+G10</f>
        <v>40735.75</v>
      </c>
      <c r="I10" s="5" t="n">
        <f aca="false">F10-G10</f>
        <v>38994.25</v>
      </c>
      <c r="J10" s="5" t="n">
        <f aca="false">H10-I10</f>
        <v>1741.5</v>
      </c>
      <c r="K10" s="5" t="n">
        <f aca="false">H10-I10</f>
        <v>1741.5</v>
      </c>
      <c r="L10" s="5" t="n">
        <f aca="false">J10-K10</f>
        <v>0</v>
      </c>
      <c r="M10" s="13" t="n">
        <f aca="false">IF(K10=0,0,J10/K10)</f>
        <v>1</v>
      </c>
    </row>
    <row r="11" customFormat="false" ht="15" hidden="false" customHeight="false" outlineLevel="0" collapsed="false">
      <c r="A11" s="0" t="n">
        <v>1</v>
      </c>
      <c r="B11" s="0" t="n">
        <v>8</v>
      </c>
      <c r="C11" s="0" t="n">
        <v>67</v>
      </c>
      <c r="D11" s="12" t="n">
        <v>0.70833</v>
      </c>
      <c r="E11" s="5" t="n">
        <v>850</v>
      </c>
      <c r="F11" s="5" t="n">
        <f aca="false">C11*D11*E11</f>
        <v>40339.3935</v>
      </c>
      <c r="G11" s="5" t="n">
        <f aca="false">'Laundry Revenue'!G17</f>
        <v>967.5</v>
      </c>
      <c r="H11" s="5" t="n">
        <f aca="false">F11+G11</f>
        <v>41306.8935</v>
      </c>
      <c r="I11" s="5" t="n">
        <f aca="false">F11-G11</f>
        <v>39371.8935</v>
      </c>
      <c r="J11" s="5" t="n">
        <f aca="false">H11-I11</f>
        <v>1935</v>
      </c>
      <c r="K11" s="5" t="n">
        <f aca="false">H11-I11</f>
        <v>1935</v>
      </c>
      <c r="L11" s="5" t="n">
        <f aca="false">J11-K11</f>
        <v>0</v>
      </c>
      <c r="M11" s="13" t="n">
        <f aca="false">IF(K11=0,0,J11/K11)</f>
        <v>1</v>
      </c>
    </row>
    <row r="12" customFormat="false" ht="15" hidden="false" customHeight="false" outlineLevel="0" collapsed="false">
      <c r="A12" s="0" t="n">
        <v>1</v>
      </c>
      <c r="B12" s="0" t="n">
        <v>9</v>
      </c>
      <c r="C12" s="0" t="n">
        <v>67</v>
      </c>
      <c r="D12" s="12" t="n">
        <v>0.71666</v>
      </c>
      <c r="E12" s="5" t="n">
        <v>850</v>
      </c>
      <c r="F12" s="5" t="n">
        <f aca="false">C12*D12*E12</f>
        <v>40813.787</v>
      </c>
      <c r="G12" s="5" t="n">
        <f aca="false">'Laundry Revenue'!G18</f>
        <v>1161</v>
      </c>
      <c r="H12" s="5" t="n">
        <f aca="false">F12+G12</f>
        <v>41974.787</v>
      </c>
      <c r="I12" s="5" t="n">
        <f aca="false">F12-G12</f>
        <v>39652.787</v>
      </c>
      <c r="J12" s="5" t="n">
        <f aca="false">H12-I12</f>
        <v>2322</v>
      </c>
      <c r="K12" s="5" t="n">
        <f aca="false">H12-I12</f>
        <v>2322</v>
      </c>
      <c r="L12" s="5" t="n">
        <f aca="false">J12-K12</f>
        <v>0</v>
      </c>
      <c r="M12" s="13" t="n">
        <f aca="false">IF(K12=0,0,J12/K12)</f>
        <v>1</v>
      </c>
    </row>
    <row r="13" customFormat="false" ht="15" hidden="false" customHeight="false" outlineLevel="0" collapsed="false">
      <c r="A13" s="0" t="n">
        <v>1</v>
      </c>
      <c r="B13" s="0" t="n">
        <v>10</v>
      </c>
      <c r="C13" s="0" t="n">
        <v>67</v>
      </c>
      <c r="D13" s="12" t="n">
        <v>0.72499</v>
      </c>
      <c r="E13" s="5" t="n">
        <v>850</v>
      </c>
      <c r="F13" s="5" t="n">
        <f aca="false">C13*D13*E13</f>
        <v>41288.1805</v>
      </c>
      <c r="G13" s="5" t="n">
        <f aca="false">'Laundry Revenue'!G19</f>
        <v>1161</v>
      </c>
      <c r="H13" s="5" t="n">
        <f aca="false">F13+G13</f>
        <v>42449.1805</v>
      </c>
      <c r="I13" s="5" t="n">
        <f aca="false">F13-G13</f>
        <v>40127.1805</v>
      </c>
      <c r="J13" s="5" t="n">
        <f aca="false">H13-I13</f>
        <v>2322</v>
      </c>
      <c r="K13" s="5" t="n">
        <f aca="false">H13-I13</f>
        <v>2322</v>
      </c>
      <c r="L13" s="5" t="n">
        <f aca="false">J13-K13</f>
        <v>0</v>
      </c>
      <c r="M13" s="13" t="n">
        <f aca="false">IF(K13=0,0,J13/K13)</f>
        <v>1</v>
      </c>
    </row>
    <row r="14" customFormat="false" ht="15" hidden="false" customHeight="false" outlineLevel="0" collapsed="false">
      <c r="A14" s="0" t="n">
        <v>1</v>
      </c>
      <c r="B14" s="0" t="n">
        <v>11</v>
      </c>
      <c r="C14" s="0" t="n">
        <v>67</v>
      </c>
      <c r="D14" s="12" t="n">
        <v>0.73332</v>
      </c>
      <c r="E14" s="5" t="n">
        <v>850</v>
      </c>
      <c r="F14" s="5" t="n">
        <f aca="false">C14*D14*E14</f>
        <v>41762.574</v>
      </c>
      <c r="G14" s="5" t="n">
        <f aca="false">'Laundry Revenue'!G20</f>
        <v>1161</v>
      </c>
      <c r="H14" s="5" t="n">
        <f aca="false">F14+G14</f>
        <v>42923.574</v>
      </c>
      <c r="I14" s="5" t="n">
        <f aca="false">F14-G14</f>
        <v>40601.574</v>
      </c>
      <c r="J14" s="5" t="n">
        <f aca="false">H14-I14</f>
        <v>2322</v>
      </c>
      <c r="K14" s="5" t="n">
        <f aca="false">H14-I14</f>
        <v>2322</v>
      </c>
      <c r="L14" s="5" t="n">
        <f aca="false">J14-K14</f>
        <v>0</v>
      </c>
      <c r="M14" s="13" t="n">
        <f aca="false">IF(K14=0,0,J14/K14)</f>
        <v>1</v>
      </c>
    </row>
    <row r="15" customFormat="false" ht="15" hidden="false" customHeight="false" outlineLevel="0" collapsed="false">
      <c r="A15" s="0" t="n">
        <v>1</v>
      </c>
      <c r="B15" s="0" t="n">
        <v>12</v>
      </c>
      <c r="C15" s="0" t="n">
        <v>67</v>
      </c>
      <c r="D15" s="12" t="n">
        <v>0.74165</v>
      </c>
      <c r="E15" s="5" t="n">
        <v>850</v>
      </c>
      <c r="F15" s="5" t="n">
        <f aca="false">C15*D15*E15</f>
        <v>42236.9675</v>
      </c>
      <c r="G15" s="5" t="n">
        <f aca="false">'Laundry Revenue'!G21</f>
        <v>1161</v>
      </c>
      <c r="H15" s="5" t="n">
        <f aca="false">F15+G15</f>
        <v>43397.9675</v>
      </c>
      <c r="I15" s="5" t="n">
        <f aca="false">F15-G15</f>
        <v>41075.9675</v>
      </c>
      <c r="J15" s="5" t="n">
        <f aca="false">H15-I15</f>
        <v>2322</v>
      </c>
      <c r="K15" s="5" t="n">
        <f aca="false">H15-I15</f>
        <v>2322</v>
      </c>
      <c r="L15" s="5" t="n">
        <f aca="false">J15-K15</f>
        <v>0</v>
      </c>
      <c r="M15" s="13" t="n">
        <f aca="false">IF(K15=0,0,J15/K15)</f>
        <v>1</v>
      </c>
    </row>
    <row r="16" customFormat="false" ht="15" hidden="false" customHeight="false" outlineLevel="0" collapsed="false">
      <c r="A16" s="0" t="n">
        <v>2</v>
      </c>
      <c r="B16" s="0" t="n">
        <v>1</v>
      </c>
      <c r="C16" s="0" t="n">
        <v>67</v>
      </c>
      <c r="D16" s="12" t="n">
        <v>0.74998</v>
      </c>
      <c r="E16" s="5" t="n">
        <v>850</v>
      </c>
      <c r="F16" s="5" t="n">
        <f aca="false">C16*D16*E16</f>
        <v>42711.361</v>
      </c>
      <c r="G16" s="5" t="n">
        <f aca="false">'Laundry Revenue'!G22</f>
        <v>1161</v>
      </c>
      <c r="H16" s="5" t="n">
        <f aca="false">F16+G16</f>
        <v>43872.361</v>
      </c>
      <c r="I16" s="5" t="n">
        <f aca="false">F16-G16</f>
        <v>41550.361</v>
      </c>
      <c r="J16" s="5" t="n">
        <f aca="false">H16-I16</f>
        <v>2322</v>
      </c>
      <c r="K16" s="5" t="n">
        <f aca="false">H16-I16</f>
        <v>2322</v>
      </c>
      <c r="L16" s="5" t="n">
        <f aca="false">J16-K16</f>
        <v>0</v>
      </c>
      <c r="M16" s="13" t="n">
        <f aca="false">IF(K16=0,0,J16/K16)</f>
        <v>1</v>
      </c>
    </row>
    <row r="17" customFormat="false" ht="15" hidden="false" customHeight="false" outlineLevel="0" collapsed="false">
      <c r="A17" s="0" t="n">
        <v>2</v>
      </c>
      <c r="B17" s="0" t="n">
        <v>2</v>
      </c>
      <c r="C17" s="0" t="n">
        <v>67</v>
      </c>
      <c r="D17" s="12" t="n">
        <v>0.75831</v>
      </c>
      <c r="E17" s="5" t="n">
        <v>850</v>
      </c>
      <c r="F17" s="5" t="n">
        <f aca="false">C17*D17*E17</f>
        <v>43185.7545</v>
      </c>
      <c r="G17" s="5" t="n">
        <f aca="false">'Laundry Revenue'!G23</f>
        <v>1161</v>
      </c>
      <c r="H17" s="5" t="n">
        <f aca="false">F17+G17</f>
        <v>44346.7545</v>
      </c>
      <c r="I17" s="5" t="n">
        <f aca="false">F17-G17</f>
        <v>42024.7545</v>
      </c>
      <c r="J17" s="5" t="n">
        <f aca="false">H17-I17</f>
        <v>2322</v>
      </c>
      <c r="K17" s="5" t="n">
        <f aca="false">H17-I17</f>
        <v>2322</v>
      </c>
      <c r="L17" s="5" t="n">
        <f aca="false">J17-K17</f>
        <v>0</v>
      </c>
      <c r="M17" s="13" t="n">
        <f aca="false">IF(K17=0,0,J17/K17)</f>
        <v>1</v>
      </c>
    </row>
    <row r="18" customFormat="false" ht="15" hidden="false" customHeight="false" outlineLevel="0" collapsed="false">
      <c r="A18" s="0" t="n">
        <v>2</v>
      </c>
      <c r="B18" s="0" t="n">
        <v>3</v>
      </c>
      <c r="C18" s="0" t="n">
        <v>67</v>
      </c>
      <c r="D18" s="12" t="n">
        <v>0.76664</v>
      </c>
      <c r="E18" s="5" t="n">
        <v>850</v>
      </c>
      <c r="F18" s="5" t="n">
        <f aca="false">C18*D18*E18</f>
        <v>43660.148</v>
      </c>
      <c r="G18" s="5" t="n">
        <f aca="false">'Laundry Revenue'!G24</f>
        <v>1161</v>
      </c>
      <c r="H18" s="5" t="n">
        <f aca="false">F18+G18</f>
        <v>44821.148</v>
      </c>
      <c r="I18" s="5" t="n">
        <f aca="false">F18-G18</f>
        <v>42499.148</v>
      </c>
      <c r="J18" s="5" t="n">
        <f aca="false">H18-I18</f>
        <v>2322</v>
      </c>
      <c r="K18" s="5" t="n">
        <f aca="false">H18-I18</f>
        <v>2322</v>
      </c>
      <c r="L18" s="5" t="n">
        <f aca="false">J18-K18</f>
        <v>0</v>
      </c>
      <c r="M18" s="13" t="n">
        <f aca="false">IF(K18=0,0,J18/K18)</f>
        <v>1</v>
      </c>
    </row>
    <row r="19" customFormat="false" ht="15" hidden="false" customHeight="false" outlineLevel="0" collapsed="false">
      <c r="A19" s="0" t="n">
        <v>2</v>
      </c>
      <c r="B19" s="0" t="n">
        <v>4</v>
      </c>
      <c r="C19" s="0" t="n">
        <v>67</v>
      </c>
      <c r="D19" s="12" t="n">
        <v>0.77497</v>
      </c>
      <c r="E19" s="5" t="n">
        <v>850</v>
      </c>
      <c r="F19" s="5" t="n">
        <f aca="false">C19*D19*E19</f>
        <v>44134.5415</v>
      </c>
      <c r="G19" s="5" t="n">
        <f aca="false">'Laundry Revenue'!G25</f>
        <v>1161</v>
      </c>
      <c r="H19" s="5" t="n">
        <f aca="false">F19+G19</f>
        <v>45295.5415</v>
      </c>
      <c r="I19" s="5" t="n">
        <f aca="false">F19-G19</f>
        <v>42973.5415</v>
      </c>
      <c r="J19" s="5" t="n">
        <f aca="false">H19-I19</f>
        <v>2322</v>
      </c>
      <c r="K19" s="5" t="n">
        <f aca="false">H19-I19</f>
        <v>2322</v>
      </c>
      <c r="L19" s="5" t="n">
        <f aca="false">J19-K19</f>
        <v>0</v>
      </c>
      <c r="M19" s="13" t="n">
        <f aca="false">IF(K19=0,0,J19/K19)</f>
        <v>1</v>
      </c>
    </row>
    <row r="20" customFormat="false" ht="15" hidden="false" customHeight="false" outlineLevel="0" collapsed="false">
      <c r="A20" s="0" t="n">
        <v>2</v>
      </c>
      <c r="B20" s="0" t="n">
        <v>5</v>
      </c>
      <c r="C20" s="0" t="n">
        <v>67</v>
      </c>
      <c r="D20" s="12" t="n">
        <v>0.7833</v>
      </c>
      <c r="E20" s="5" t="n">
        <v>850</v>
      </c>
      <c r="F20" s="5" t="n">
        <f aca="false">C20*D20*E20</f>
        <v>44608.935</v>
      </c>
      <c r="G20" s="5" t="n">
        <f aca="false">'Laundry Revenue'!G26</f>
        <v>1161</v>
      </c>
      <c r="H20" s="5" t="n">
        <f aca="false">F20+G20</f>
        <v>45769.935</v>
      </c>
      <c r="I20" s="5" t="n">
        <f aca="false">F20-G20</f>
        <v>43447.935</v>
      </c>
      <c r="J20" s="5" t="n">
        <f aca="false">H20-I20</f>
        <v>2322</v>
      </c>
      <c r="K20" s="5" t="n">
        <f aca="false">H20-I20</f>
        <v>2322</v>
      </c>
      <c r="L20" s="5" t="n">
        <f aca="false">J20-K20</f>
        <v>0</v>
      </c>
      <c r="M20" s="13" t="n">
        <f aca="false">IF(K20=0,0,J20/K20)</f>
        <v>1</v>
      </c>
    </row>
    <row r="21" customFormat="false" ht="15" hidden="false" customHeight="false" outlineLevel="0" collapsed="false">
      <c r="A21" s="0" t="n">
        <v>2</v>
      </c>
      <c r="B21" s="0" t="n">
        <v>6</v>
      </c>
      <c r="C21" s="0" t="n">
        <v>67</v>
      </c>
      <c r="D21" s="12" t="n">
        <v>0.79163</v>
      </c>
      <c r="E21" s="5" t="n">
        <v>850</v>
      </c>
      <c r="F21" s="5" t="n">
        <f aca="false">C21*D21*E21</f>
        <v>45083.3285</v>
      </c>
      <c r="G21" s="5" t="n">
        <f aca="false">'Laundry Revenue'!G27</f>
        <v>1161</v>
      </c>
      <c r="H21" s="5" t="n">
        <f aca="false">F21+G21</f>
        <v>46244.3285</v>
      </c>
      <c r="I21" s="5" t="n">
        <f aca="false">F21-G21</f>
        <v>43922.3285</v>
      </c>
      <c r="J21" s="5" t="n">
        <f aca="false">H21-I21</f>
        <v>2322</v>
      </c>
      <c r="K21" s="5" t="n">
        <f aca="false">H21-I21</f>
        <v>2322</v>
      </c>
      <c r="L21" s="5" t="n">
        <f aca="false">J21-K21</f>
        <v>0</v>
      </c>
      <c r="M21" s="13" t="n">
        <f aca="false">IF(K21=0,0,J21/K21)</f>
        <v>1</v>
      </c>
    </row>
    <row r="22" customFormat="false" ht="15" hidden="false" customHeight="false" outlineLevel="0" collapsed="false">
      <c r="A22" s="0" t="n">
        <v>2</v>
      </c>
      <c r="B22" s="0" t="n">
        <v>7</v>
      </c>
      <c r="C22" s="0" t="n">
        <v>67</v>
      </c>
      <c r="D22" s="12" t="n">
        <v>0.8</v>
      </c>
      <c r="E22" s="5" t="n">
        <v>850</v>
      </c>
      <c r="F22" s="5" t="n">
        <f aca="false">C22*D22*E22</f>
        <v>45560</v>
      </c>
      <c r="G22" s="5" t="n">
        <f aca="false">'Laundry Revenue'!G28</f>
        <v>1161</v>
      </c>
      <c r="H22" s="5" t="n">
        <f aca="false">F22+G22</f>
        <v>46721</v>
      </c>
      <c r="I22" s="5" t="n">
        <f aca="false">F22-G22</f>
        <v>44399</v>
      </c>
      <c r="J22" s="5" t="n">
        <f aca="false">H22-I22</f>
        <v>2322</v>
      </c>
      <c r="K22" s="5" t="n">
        <f aca="false">H22-I22</f>
        <v>2322</v>
      </c>
      <c r="L22" s="5" t="n">
        <f aca="false">J22-K22</f>
        <v>0</v>
      </c>
      <c r="M22" s="13" t="n">
        <f aca="false">IF(K22=0,0,J22/K22)</f>
        <v>1</v>
      </c>
    </row>
    <row r="23" customFormat="false" ht="15" hidden="false" customHeight="false" outlineLevel="0" collapsed="false">
      <c r="A23" s="0" t="n">
        <v>2</v>
      </c>
      <c r="B23" s="0" t="n">
        <v>8</v>
      </c>
      <c r="C23" s="0" t="n">
        <v>67</v>
      </c>
      <c r="D23" s="12" t="n">
        <v>0.8</v>
      </c>
      <c r="E23" s="5" t="n">
        <v>850</v>
      </c>
      <c r="F23" s="5" t="n">
        <f aca="false">C23*D23*E23</f>
        <v>45560</v>
      </c>
      <c r="G23" s="5" t="n">
        <f aca="false">'Laundry Revenue'!G29</f>
        <v>1161</v>
      </c>
      <c r="H23" s="5" t="n">
        <f aca="false">F23+G23</f>
        <v>46721</v>
      </c>
      <c r="I23" s="5" t="n">
        <f aca="false">F23-G23</f>
        <v>44399</v>
      </c>
      <c r="J23" s="5" t="n">
        <f aca="false">H23-I23</f>
        <v>2322</v>
      </c>
      <c r="K23" s="5" t="n">
        <f aca="false">H23-I23</f>
        <v>2322</v>
      </c>
      <c r="L23" s="5" t="n">
        <f aca="false">J23-K23</f>
        <v>0</v>
      </c>
      <c r="M23" s="13" t="n">
        <f aca="false">IF(K23=0,0,J23/K23)</f>
        <v>1</v>
      </c>
    </row>
    <row r="24" customFormat="false" ht="15" hidden="false" customHeight="false" outlineLevel="0" collapsed="false">
      <c r="A24" s="0" t="n">
        <v>2</v>
      </c>
      <c r="B24" s="0" t="n">
        <v>9</v>
      </c>
      <c r="C24" s="0" t="n">
        <v>67</v>
      </c>
      <c r="D24" s="12" t="n">
        <v>0.8</v>
      </c>
      <c r="E24" s="5" t="n">
        <v>850</v>
      </c>
      <c r="F24" s="5" t="n">
        <f aca="false">C24*D24*E24</f>
        <v>45560</v>
      </c>
      <c r="G24" s="5" t="n">
        <f aca="false">'Laundry Revenue'!G30</f>
        <v>1161</v>
      </c>
      <c r="H24" s="5" t="n">
        <f aca="false">F24+G24</f>
        <v>46721</v>
      </c>
      <c r="I24" s="5" t="n">
        <f aca="false">F24-G24</f>
        <v>44399</v>
      </c>
      <c r="J24" s="5" t="n">
        <f aca="false">H24-I24</f>
        <v>2322</v>
      </c>
      <c r="K24" s="5" t="n">
        <f aca="false">H24-I24</f>
        <v>2322</v>
      </c>
      <c r="L24" s="5" t="n">
        <f aca="false">J24-K24</f>
        <v>0</v>
      </c>
      <c r="M24" s="13" t="n">
        <f aca="false">IF(K24=0,0,J24/K24)</f>
        <v>1</v>
      </c>
    </row>
    <row r="25" customFormat="false" ht="15" hidden="false" customHeight="false" outlineLevel="0" collapsed="false">
      <c r="A25" s="0" t="n">
        <v>2</v>
      </c>
      <c r="B25" s="0" t="n">
        <v>10</v>
      </c>
      <c r="C25" s="0" t="n">
        <v>67</v>
      </c>
      <c r="D25" s="12" t="n">
        <v>0.8</v>
      </c>
      <c r="E25" s="5" t="n">
        <v>850</v>
      </c>
      <c r="F25" s="5" t="n">
        <f aca="false">C25*D25*E25</f>
        <v>45560</v>
      </c>
      <c r="G25" s="5" t="n">
        <f aca="false">'Laundry Revenue'!G31</f>
        <v>1161</v>
      </c>
      <c r="H25" s="5" t="n">
        <f aca="false">F25+G25</f>
        <v>46721</v>
      </c>
      <c r="I25" s="5" t="n">
        <f aca="false">F25-G25</f>
        <v>44399</v>
      </c>
      <c r="J25" s="5" t="n">
        <f aca="false">H25-I25</f>
        <v>2322</v>
      </c>
      <c r="K25" s="5" t="n">
        <f aca="false">H25-I25</f>
        <v>2322</v>
      </c>
      <c r="L25" s="5" t="n">
        <f aca="false">J25-K25</f>
        <v>0</v>
      </c>
      <c r="M25" s="13" t="n">
        <f aca="false">IF(K25=0,0,J25/K25)</f>
        <v>1</v>
      </c>
    </row>
    <row r="26" customFormat="false" ht="15" hidden="false" customHeight="false" outlineLevel="0" collapsed="false">
      <c r="A26" s="0" t="n">
        <v>2</v>
      </c>
      <c r="B26" s="0" t="n">
        <v>11</v>
      </c>
      <c r="C26" s="0" t="n">
        <v>67</v>
      </c>
      <c r="D26" s="12" t="n">
        <v>0.8</v>
      </c>
      <c r="E26" s="5" t="n">
        <v>850</v>
      </c>
      <c r="F26" s="5" t="n">
        <f aca="false">C26*D26*E26</f>
        <v>45560</v>
      </c>
      <c r="G26" s="5" t="n">
        <f aca="false">'Laundry Revenue'!G32</f>
        <v>1161</v>
      </c>
      <c r="H26" s="5" t="n">
        <f aca="false">F26+G26</f>
        <v>46721</v>
      </c>
      <c r="I26" s="5" t="n">
        <f aca="false">F26-G26</f>
        <v>44399</v>
      </c>
      <c r="J26" s="5" t="n">
        <f aca="false">H26-I26</f>
        <v>2322</v>
      </c>
      <c r="K26" s="5" t="n">
        <f aca="false">H26-I26</f>
        <v>2322</v>
      </c>
      <c r="L26" s="5" t="n">
        <f aca="false">J26-K26</f>
        <v>0</v>
      </c>
      <c r="M26" s="13" t="n">
        <f aca="false">IF(K26=0,0,J26/K26)</f>
        <v>1</v>
      </c>
    </row>
    <row r="27" customFormat="false" ht="15" hidden="false" customHeight="false" outlineLevel="0" collapsed="false">
      <c r="A27" s="0" t="n">
        <v>2</v>
      </c>
      <c r="B27" s="0" t="n">
        <v>12</v>
      </c>
      <c r="C27" s="0" t="n">
        <v>67</v>
      </c>
      <c r="D27" s="12" t="n">
        <v>0.8</v>
      </c>
      <c r="E27" s="5" t="n">
        <v>850</v>
      </c>
      <c r="F27" s="5" t="n">
        <f aca="false">C27*D27*E27</f>
        <v>45560</v>
      </c>
      <c r="G27" s="5" t="n">
        <f aca="false">'Laundry Revenue'!G33</f>
        <v>1161</v>
      </c>
      <c r="H27" s="5" t="n">
        <f aca="false">F27+G27</f>
        <v>46721</v>
      </c>
      <c r="I27" s="5" t="n">
        <f aca="false">F27-G27</f>
        <v>44399</v>
      </c>
      <c r="J27" s="5" t="n">
        <f aca="false">H27-I27</f>
        <v>2322</v>
      </c>
      <c r="K27" s="5" t="n">
        <f aca="false">H27-I27</f>
        <v>2322</v>
      </c>
      <c r="L27" s="5" t="n">
        <f aca="false">J27-K27</f>
        <v>0</v>
      </c>
      <c r="M27" s="13" t="n">
        <f aca="false">IF(K27=0,0,J27/K27)</f>
        <v>1</v>
      </c>
    </row>
    <row r="28" customFormat="false" ht="15" hidden="false" customHeight="false" outlineLevel="0" collapsed="false">
      <c r="A28" s="0" t="n">
        <v>3</v>
      </c>
      <c r="B28" s="0" t="n">
        <v>1</v>
      </c>
      <c r="C28" s="0" t="n">
        <v>67</v>
      </c>
      <c r="D28" s="12" t="n">
        <v>0.8</v>
      </c>
      <c r="E28" s="5" t="n">
        <v>850</v>
      </c>
      <c r="F28" s="5" t="n">
        <f aca="false">C28*D28*E28</f>
        <v>45560</v>
      </c>
      <c r="G28" s="5" t="n">
        <f aca="false">'Laundry Revenue'!G34</f>
        <v>1161</v>
      </c>
      <c r="H28" s="5" t="n">
        <f aca="false">F28+G28</f>
        <v>46721</v>
      </c>
      <c r="I28" s="5" t="n">
        <f aca="false">F28-G28</f>
        <v>44399</v>
      </c>
      <c r="J28" s="5" t="n">
        <f aca="false">H28-I28</f>
        <v>2322</v>
      </c>
      <c r="K28" s="5" t="n">
        <f aca="false">H28-I28</f>
        <v>2322</v>
      </c>
      <c r="L28" s="5" t="n">
        <f aca="false">J28-K28</f>
        <v>0</v>
      </c>
      <c r="M28" s="13" t="n">
        <f aca="false">IF(K28=0,0,J28/K28)</f>
        <v>1</v>
      </c>
    </row>
    <row r="29" customFormat="false" ht="15" hidden="false" customHeight="false" outlineLevel="0" collapsed="false">
      <c r="A29" s="0" t="n">
        <v>3</v>
      </c>
      <c r="B29" s="0" t="n">
        <v>2</v>
      </c>
      <c r="C29" s="0" t="n">
        <v>67</v>
      </c>
      <c r="D29" s="12" t="n">
        <v>0.8</v>
      </c>
      <c r="E29" s="5" t="n">
        <v>850</v>
      </c>
      <c r="F29" s="5" t="n">
        <f aca="false">C29*D29*E29</f>
        <v>45560</v>
      </c>
      <c r="G29" s="5" t="n">
        <f aca="false">'Laundry Revenue'!G35</f>
        <v>1161</v>
      </c>
      <c r="H29" s="5" t="n">
        <f aca="false">F29+G29</f>
        <v>46721</v>
      </c>
      <c r="I29" s="5" t="n">
        <f aca="false">F29-G29</f>
        <v>44399</v>
      </c>
      <c r="J29" s="5" t="n">
        <f aca="false">H29-I29</f>
        <v>2322</v>
      </c>
      <c r="K29" s="5" t="n">
        <f aca="false">H29-I29</f>
        <v>2322</v>
      </c>
      <c r="L29" s="5" t="n">
        <f aca="false">J29-K29</f>
        <v>0</v>
      </c>
      <c r="M29" s="13" t="n">
        <f aca="false">IF(K29=0,0,J29/K29)</f>
        <v>1</v>
      </c>
    </row>
    <row r="30" customFormat="false" ht="15" hidden="false" customHeight="false" outlineLevel="0" collapsed="false">
      <c r="A30" s="0" t="n">
        <v>3</v>
      </c>
      <c r="B30" s="0" t="n">
        <v>3</v>
      </c>
      <c r="C30" s="0" t="n">
        <v>67</v>
      </c>
      <c r="D30" s="12" t="n">
        <v>0.8</v>
      </c>
      <c r="E30" s="5" t="n">
        <v>850</v>
      </c>
      <c r="F30" s="5" t="n">
        <f aca="false">C30*D30*E30</f>
        <v>45560</v>
      </c>
      <c r="G30" s="5" t="n">
        <f aca="false">'Laundry Revenue'!G36</f>
        <v>1161</v>
      </c>
      <c r="H30" s="5" t="n">
        <f aca="false">F30+G30</f>
        <v>46721</v>
      </c>
      <c r="I30" s="5" t="n">
        <f aca="false">F30-G30</f>
        <v>44399</v>
      </c>
      <c r="J30" s="5" t="n">
        <f aca="false">H30-I30</f>
        <v>2322</v>
      </c>
      <c r="K30" s="5" t="n">
        <f aca="false">H30-I30</f>
        <v>2322</v>
      </c>
      <c r="L30" s="5" t="n">
        <f aca="false">J30-K30</f>
        <v>0</v>
      </c>
      <c r="M30" s="13" t="n">
        <f aca="false">IF(K30=0,0,J30/K30)</f>
        <v>1</v>
      </c>
    </row>
    <row r="31" customFormat="false" ht="15" hidden="false" customHeight="false" outlineLevel="0" collapsed="false">
      <c r="A31" s="0" t="n">
        <v>3</v>
      </c>
      <c r="B31" s="0" t="n">
        <v>4</v>
      </c>
      <c r="C31" s="0" t="n">
        <v>67</v>
      </c>
      <c r="D31" s="12" t="n">
        <v>0.8</v>
      </c>
      <c r="E31" s="5" t="n">
        <v>850</v>
      </c>
      <c r="F31" s="5" t="n">
        <f aca="false">C31*D31*E31</f>
        <v>45560</v>
      </c>
      <c r="G31" s="5" t="n">
        <f aca="false">'Laundry Revenue'!G37</f>
        <v>1161</v>
      </c>
      <c r="H31" s="5" t="n">
        <f aca="false">F31+G31</f>
        <v>46721</v>
      </c>
      <c r="I31" s="5" t="n">
        <f aca="false">F31-G31</f>
        <v>44399</v>
      </c>
      <c r="J31" s="5" t="n">
        <f aca="false">H31-I31</f>
        <v>2322</v>
      </c>
      <c r="K31" s="5" t="n">
        <f aca="false">H31-I31</f>
        <v>2322</v>
      </c>
      <c r="L31" s="5" t="n">
        <f aca="false">J31-K31</f>
        <v>0</v>
      </c>
      <c r="M31" s="13" t="n">
        <f aca="false">IF(K31=0,0,J31/K31)</f>
        <v>1</v>
      </c>
    </row>
    <row r="32" customFormat="false" ht="15" hidden="false" customHeight="false" outlineLevel="0" collapsed="false">
      <c r="A32" s="0" t="n">
        <v>3</v>
      </c>
      <c r="B32" s="0" t="n">
        <v>5</v>
      </c>
      <c r="C32" s="0" t="n">
        <v>67</v>
      </c>
      <c r="D32" s="12" t="n">
        <v>0.8</v>
      </c>
      <c r="E32" s="5" t="n">
        <v>850</v>
      </c>
      <c r="F32" s="5" t="n">
        <f aca="false">C32*D32*E32</f>
        <v>45560</v>
      </c>
      <c r="G32" s="5" t="n">
        <f aca="false">'Laundry Revenue'!G38</f>
        <v>1161</v>
      </c>
      <c r="H32" s="5" t="n">
        <f aca="false">F32+G32</f>
        <v>46721</v>
      </c>
      <c r="I32" s="5" t="n">
        <f aca="false">F32-G32</f>
        <v>44399</v>
      </c>
      <c r="J32" s="5" t="n">
        <f aca="false">H32-I32</f>
        <v>2322</v>
      </c>
      <c r="K32" s="5" t="n">
        <f aca="false">H32-I32</f>
        <v>2322</v>
      </c>
      <c r="L32" s="5" t="n">
        <f aca="false">J32-K32</f>
        <v>0</v>
      </c>
      <c r="M32" s="13" t="n">
        <f aca="false">IF(K32=0,0,J32/K32)</f>
        <v>1</v>
      </c>
    </row>
    <row r="33" customFormat="false" ht="15" hidden="false" customHeight="false" outlineLevel="0" collapsed="false">
      <c r="A33" s="0" t="n">
        <v>3</v>
      </c>
      <c r="B33" s="0" t="n">
        <v>6</v>
      </c>
      <c r="C33" s="0" t="n">
        <v>67</v>
      </c>
      <c r="D33" s="12" t="n">
        <v>0.8</v>
      </c>
      <c r="E33" s="5" t="n">
        <v>850</v>
      </c>
      <c r="F33" s="5" t="n">
        <f aca="false">C33*D33*E33</f>
        <v>45560</v>
      </c>
      <c r="G33" s="5" t="n">
        <f aca="false">'Laundry Revenue'!G39</f>
        <v>1161</v>
      </c>
      <c r="H33" s="5" t="n">
        <f aca="false">F33+G33</f>
        <v>46721</v>
      </c>
      <c r="I33" s="5" t="n">
        <f aca="false">F33-G33</f>
        <v>44399</v>
      </c>
      <c r="J33" s="5" t="n">
        <f aca="false">H33-I33</f>
        <v>2322</v>
      </c>
      <c r="K33" s="5" t="n">
        <f aca="false">H33-I33</f>
        <v>2322</v>
      </c>
      <c r="L33" s="5" t="n">
        <f aca="false">J33-K33</f>
        <v>0</v>
      </c>
      <c r="M33" s="13" t="n">
        <f aca="false">IF(K33=0,0,J33/K33)</f>
        <v>1</v>
      </c>
    </row>
    <row r="34" customFormat="false" ht="15" hidden="false" customHeight="false" outlineLevel="0" collapsed="false">
      <c r="A34" s="0" t="n">
        <v>3</v>
      </c>
      <c r="B34" s="0" t="n">
        <v>7</v>
      </c>
      <c r="C34" s="0" t="n">
        <v>67</v>
      </c>
      <c r="D34" s="12" t="n">
        <v>0.8</v>
      </c>
      <c r="E34" s="5" t="n">
        <v>850</v>
      </c>
      <c r="F34" s="5" t="n">
        <f aca="false">C34*D34*E34</f>
        <v>45560</v>
      </c>
      <c r="G34" s="5" t="n">
        <f aca="false">'Laundry Revenue'!G40</f>
        <v>1161</v>
      </c>
      <c r="H34" s="5" t="n">
        <f aca="false">F34+G34</f>
        <v>46721</v>
      </c>
      <c r="I34" s="5" t="n">
        <f aca="false">F34-G34</f>
        <v>44399</v>
      </c>
      <c r="J34" s="5" t="n">
        <f aca="false">H34-I34</f>
        <v>2322</v>
      </c>
      <c r="K34" s="5" t="n">
        <f aca="false">H34-I34</f>
        <v>2322</v>
      </c>
      <c r="L34" s="5" t="n">
        <f aca="false">J34-K34</f>
        <v>0</v>
      </c>
      <c r="M34" s="13" t="n">
        <f aca="false">IF(K34=0,0,J34/K34)</f>
        <v>1</v>
      </c>
    </row>
    <row r="35" customFormat="false" ht="15" hidden="false" customHeight="false" outlineLevel="0" collapsed="false">
      <c r="A35" s="0" t="n">
        <v>3</v>
      </c>
      <c r="B35" s="0" t="n">
        <v>8</v>
      </c>
      <c r="C35" s="0" t="n">
        <v>67</v>
      </c>
      <c r="D35" s="12" t="n">
        <v>0.8</v>
      </c>
      <c r="E35" s="5" t="n">
        <v>850</v>
      </c>
      <c r="F35" s="5" t="n">
        <f aca="false">C35*D35*E35</f>
        <v>45560</v>
      </c>
      <c r="G35" s="5" t="n">
        <f aca="false">'Laundry Revenue'!G41</f>
        <v>1161</v>
      </c>
      <c r="H35" s="5" t="n">
        <f aca="false">F35+G35</f>
        <v>46721</v>
      </c>
      <c r="I35" s="5" t="n">
        <f aca="false">F35-G35</f>
        <v>44399</v>
      </c>
      <c r="J35" s="5" t="n">
        <f aca="false">H35-I35</f>
        <v>2322</v>
      </c>
      <c r="K35" s="5" t="n">
        <f aca="false">H35-I35</f>
        <v>2322</v>
      </c>
      <c r="L35" s="5" t="n">
        <f aca="false">J35-K35</f>
        <v>0</v>
      </c>
      <c r="M35" s="13" t="n">
        <f aca="false">IF(K35=0,0,J35/K35)</f>
        <v>1</v>
      </c>
    </row>
    <row r="36" customFormat="false" ht="15" hidden="false" customHeight="false" outlineLevel="0" collapsed="false">
      <c r="A36" s="0" t="n">
        <v>3</v>
      </c>
      <c r="B36" s="0" t="n">
        <v>9</v>
      </c>
      <c r="C36" s="0" t="n">
        <v>67</v>
      </c>
      <c r="D36" s="12" t="n">
        <v>0.8</v>
      </c>
      <c r="E36" s="5" t="n">
        <v>850</v>
      </c>
      <c r="F36" s="5" t="n">
        <f aca="false">C36*D36*E36</f>
        <v>45560</v>
      </c>
      <c r="G36" s="5" t="n">
        <f aca="false">'Laundry Revenue'!G42</f>
        <v>1161</v>
      </c>
      <c r="H36" s="5" t="n">
        <f aca="false">F36+G36</f>
        <v>46721</v>
      </c>
      <c r="I36" s="5" t="n">
        <f aca="false">F36-G36</f>
        <v>44399</v>
      </c>
      <c r="J36" s="5" t="n">
        <f aca="false">H36-I36</f>
        <v>2322</v>
      </c>
      <c r="K36" s="5" t="n">
        <f aca="false">H36-I36</f>
        <v>2322</v>
      </c>
      <c r="L36" s="5" t="n">
        <f aca="false">J36-K36</f>
        <v>0</v>
      </c>
      <c r="M36" s="13" t="n">
        <f aca="false">IF(K36=0,0,J36/K36)</f>
        <v>1</v>
      </c>
    </row>
    <row r="37" customFormat="false" ht="15" hidden="false" customHeight="false" outlineLevel="0" collapsed="false">
      <c r="A37" s="0" t="n">
        <v>3</v>
      </c>
      <c r="B37" s="0" t="n">
        <v>10</v>
      </c>
      <c r="C37" s="0" t="n">
        <v>67</v>
      </c>
      <c r="D37" s="12" t="n">
        <v>0.8</v>
      </c>
      <c r="E37" s="5" t="n">
        <v>850</v>
      </c>
      <c r="F37" s="5" t="n">
        <f aca="false">C37*D37*E37</f>
        <v>45560</v>
      </c>
      <c r="G37" s="5" t="n">
        <f aca="false">'Laundry Revenue'!G43</f>
        <v>1161</v>
      </c>
      <c r="H37" s="5" t="n">
        <f aca="false">F37+G37</f>
        <v>46721</v>
      </c>
      <c r="I37" s="5" t="n">
        <f aca="false">F37-G37</f>
        <v>44399</v>
      </c>
      <c r="J37" s="5" t="n">
        <f aca="false">H37-I37</f>
        <v>2322</v>
      </c>
      <c r="K37" s="5" t="n">
        <f aca="false">H37-I37</f>
        <v>2322</v>
      </c>
      <c r="L37" s="5" t="n">
        <f aca="false">J37-K37</f>
        <v>0</v>
      </c>
      <c r="M37" s="13" t="n">
        <f aca="false">IF(K37=0,0,J37/K37)</f>
        <v>1</v>
      </c>
    </row>
    <row r="38" customFormat="false" ht="15" hidden="false" customHeight="false" outlineLevel="0" collapsed="false">
      <c r="A38" s="0" t="n">
        <v>3</v>
      </c>
      <c r="B38" s="0" t="n">
        <v>11</v>
      </c>
      <c r="C38" s="0" t="n">
        <v>67</v>
      </c>
      <c r="D38" s="12" t="n">
        <v>0.8</v>
      </c>
      <c r="E38" s="5" t="n">
        <v>850</v>
      </c>
      <c r="F38" s="5" t="n">
        <f aca="false">C38*D38*E38</f>
        <v>45560</v>
      </c>
      <c r="G38" s="5" t="n">
        <f aca="false">'Laundry Revenue'!G44</f>
        <v>1161</v>
      </c>
      <c r="H38" s="5" t="n">
        <f aca="false">F38+G38</f>
        <v>46721</v>
      </c>
      <c r="I38" s="5" t="n">
        <f aca="false">F38-G38</f>
        <v>44399</v>
      </c>
      <c r="J38" s="5" t="n">
        <f aca="false">H38-I38</f>
        <v>2322</v>
      </c>
      <c r="K38" s="5" t="n">
        <f aca="false">H38-I38</f>
        <v>2322</v>
      </c>
      <c r="L38" s="5" t="n">
        <f aca="false">J38-K38</f>
        <v>0</v>
      </c>
      <c r="M38" s="13" t="n">
        <f aca="false">IF(K38=0,0,J38/K38)</f>
        <v>1</v>
      </c>
    </row>
    <row r="39" customFormat="false" ht="15" hidden="false" customHeight="false" outlineLevel="0" collapsed="false">
      <c r="A39" s="0" t="n">
        <v>3</v>
      </c>
      <c r="B39" s="0" t="n">
        <v>12</v>
      </c>
      <c r="C39" s="0" t="n">
        <v>67</v>
      </c>
      <c r="D39" s="12" t="n">
        <v>0.8</v>
      </c>
      <c r="E39" s="5" t="n">
        <v>850</v>
      </c>
      <c r="F39" s="5" t="n">
        <f aca="false">C39*D39*E39</f>
        <v>45560</v>
      </c>
      <c r="G39" s="5" t="n">
        <f aca="false">'Laundry Revenue'!G45</f>
        <v>1161</v>
      </c>
      <c r="H39" s="5" t="n">
        <f aca="false">F39+G39</f>
        <v>46721</v>
      </c>
      <c r="I39" s="5" t="n">
        <f aca="false">F39-G39</f>
        <v>44399</v>
      </c>
      <c r="J39" s="5" t="n">
        <f aca="false">H39-I39</f>
        <v>2322</v>
      </c>
      <c r="K39" s="5" t="n">
        <f aca="false">H39-I39</f>
        <v>2322</v>
      </c>
      <c r="L39" s="5" t="n">
        <f aca="false">J39-K39</f>
        <v>0</v>
      </c>
      <c r="M39" s="13" t="n">
        <f aca="false">IF(K39=0,0,J39/K39)</f>
        <v>1</v>
      </c>
    </row>
    <row r="40" customFormat="false" ht="15" hidden="false" customHeight="false" outlineLevel="0" collapsed="false">
      <c r="A40" s="0" t="n">
        <v>4</v>
      </c>
      <c r="B40" s="0" t="n">
        <v>1</v>
      </c>
      <c r="C40" s="0" t="n">
        <v>67</v>
      </c>
      <c r="D40" s="12" t="n">
        <v>0.8</v>
      </c>
      <c r="E40" s="5" t="n">
        <v>850</v>
      </c>
      <c r="F40" s="5" t="n">
        <f aca="false">C40*D40*E40</f>
        <v>45560</v>
      </c>
      <c r="G40" s="5" t="n">
        <f aca="false">'Laundry Revenue'!G46</f>
        <v>1161</v>
      </c>
      <c r="H40" s="5" t="n">
        <f aca="false">F40+G40</f>
        <v>46721</v>
      </c>
      <c r="I40" s="5" t="n">
        <f aca="false">F40-G40</f>
        <v>44399</v>
      </c>
      <c r="J40" s="5" t="n">
        <f aca="false">H40-I40</f>
        <v>2322</v>
      </c>
      <c r="K40" s="5" t="n">
        <f aca="false">H40-I40</f>
        <v>2322</v>
      </c>
      <c r="L40" s="5" t="n">
        <f aca="false">J40-K40</f>
        <v>0</v>
      </c>
      <c r="M40" s="13" t="n">
        <f aca="false">IF(K40=0,0,J40/K40)</f>
        <v>1</v>
      </c>
    </row>
    <row r="41" customFormat="false" ht="15" hidden="false" customHeight="false" outlineLevel="0" collapsed="false">
      <c r="A41" s="0" t="n">
        <v>4</v>
      </c>
      <c r="B41" s="0" t="n">
        <v>2</v>
      </c>
      <c r="C41" s="0" t="n">
        <v>67</v>
      </c>
      <c r="D41" s="12" t="n">
        <v>0.8</v>
      </c>
      <c r="E41" s="5" t="n">
        <v>850</v>
      </c>
      <c r="F41" s="5" t="n">
        <f aca="false">C41*D41*E41</f>
        <v>45560</v>
      </c>
      <c r="G41" s="5" t="n">
        <f aca="false">'Laundry Revenue'!G47</f>
        <v>1161</v>
      </c>
      <c r="H41" s="5" t="n">
        <f aca="false">F41+G41</f>
        <v>46721</v>
      </c>
      <c r="I41" s="5" t="n">
        <f aca="false">F41-G41</f>
        <v>44399</v>
      </c>
      <c r="J41" s="5" t="n">
        <f aca="false">H41-I41</f>
        <v>2322</v>
      </c>
      <c r="K41" s="5" t="n">
        <f aca="false">H41-I41</f>
        <v>2322</v>
      </c>
      <c r="L41" s="5" t="n">
        <f aca="false">J41-K41</f>
        <v>0</v>
      </c>
      <c r="M41" s="13" t="n">
        <f aca="false">IF(K41=0,0,J41/K41)</f>
        <v>1</v>
      </c>
    </row>
    <row r="42" customFormat="false" ht="15" hidden="false" customHeight="false" outlineLevel="0" collapsed="false">
      <c r="A42" s="0" t="n">
        <v>4</v>
      </c>
      <c r="B42" s="0" t="n">
        <v>3</v>
      </c>
      <c r="C42" s="0" t="n">
        <v>67</v>
      </c>
      <c r="D42" s="12" t="n">
        <v>0.8</v>
      </c>
      <c r="E42" s="5" t="n">
        <v>850</v>
      </c>
      <c r="F42" s="5" t="n">
        <f aca="false">C42*D42*E42</f>
        <v>45560</v>
      </c>
      <c r="G42" s="5" t="n">
        <f aca="false">'Laundry Revenue'!G48</f>
        <v>1161</v>
      </c>
      <c r="H42" s="5" t="n">
        <f aca="false">F42+G42</f>
        <v>46721</v>
      </c>
      <c r="I42" s="5" t="n">
        <f aca="false">F42-G42</f>
        <v>44399</v>
      </c>
      <c r="J42" s="5" t="n">
        <f aca="false">H42-I42</f>
        <v>2322</v>
      </c>
      <c r="K42" s="5" t="n">
        <f aca="false">H42-I42</f>
        <v>2322</v>
      </c>
      <c r="L42" s="5" t="n">
        <f aca="false">J42-K42</f>
        <v>0</v>
      </c>
      <c r="M42" s="13" t="n">
        <f aca="false">IF(K42=0,0,J42/K42)</f>
        <v>1</v>
      </c>
    </row>
    <row r="43" customFormat="false" ht="15" hidden="false" customHeight="false" outlineLevel="0" collapsed="false">
      <c r="A43" s="0" t="n">
        <v>4</v>
      </c>
      <c r="B43" s="0" t="n">
        <v>4</v>
      </c>
      <c r="C43" s="0" t="n">
        <v>67</v>
      </c>
      <c r="D43" s="12" t="n">
        <v>0.8</v>
      </c>
      <c r="E43" s="5" t="n">
        <v>850</v>
      </c>
      <c r="F43" s="5" t="n">
        <f aca="false">C43*D43*E43</f>
        <v>45560</v>
      </c>
      <c r="G43" s="5" t="n">
        <f aca="false">'Laundry Revenue'!G49</f>
        <v>1161</v>
      </c>
      <c r="H43" s="5" t="n">
        <f aca="false">F43+G43</f>
        <v>46721</v>
      </c>
      <c r="I43" s="5" t="n">
        <f aca="false">F43-G43</f>
        <v>44399</v>
      </c>
      <c r="J43" s="5" t="n">
        <f aca="false">H43-I43</f>
        <v>2322</v>
      </c>
      <c r="K43" s="5" t="n">
        <f aca="false">H43-I43</f>
        <v>2322</v>
      </c>
      <c r="L43" s="5" t="n">
        <f aca="false">J43-K43</f>
        <v>0</v>
      </c>
      <c r="M43" s="13" t="n">
        <f aca="false">IF(K43=0,0,J43/K43)</f>
        <v>1</v>
      </c>
    </row>
    <row r="44" customFormat="false" ht="15" hidden="false" customHeight="false" outlineLevel="0" collapsed="false">
      <c r="A44" s="0" t="n">
        <v>4</v>
      </c>
      <c r="B44" s="0" t="n">
        <v>5</v>
      </c>
      <c r="C44" s="0" t="n">
        <v>67</v>
      </c>
      <c r="D44" s="12" t="n">
        <v>0.8</v>
      </c>
      <c r="E44" s="5" t="n">
        <v>850</v>
      </c>
      <c r="F44" s="5" t="n">
        <f aca="false">C44*D44*E44</f>
        <v>45560</v>
      </c>
      <c r="G44" s="5" t="n">
        <f aca="false">'Laundry Revenue'!G50</f>
        <v>1161</v>
      </c>
      <c r="H44" s="5" t="n">
        <f aca="false">F44+G44</f>
        <v>46721</v>
      </c>
      <c r="I44" s="5" t="n">
        <f aca="false">F44-G44</f>
        <v>44399</v>
      </c>
      <c r="J44" s="5" t="n">
        <f aca="false">H44-I44</f>
        <v>2322</v>
      </c>
      <c r="K44" s="5" t="n">
        <f aca="false">H44-I44</f>
        <v>2322</v>
      </c>
      <c r="L44" s="5" t="n">
        <f aca="false">J44-K44</f>
        <v>0</v>
      </c>
      <c r="M44" s="13" t="n">
        <f aca="false">IF(K44=0,0,J44/K44)</f>
        <v>1</v>
      </c>
    </row>
    <row r="45" customFormat="false" ht="15" hidden="false" customHeight="false" outlineLevel="0" collapsed="false">
      <c r="A45" s="0" t="n">
        <v>4</v>
      </c>
      <c r="B45" s="0" t="n">
        <v>6</v>
      </c>
      <c r="C45" s="0" t="n">
        <v>67</v>
      </c>
      <c r="D45" s="12" t="n">
        <v>0.8</v>
      </c>
      <c r="E45" s="5" t="n">
        <v>850</v>
      </c>
      <c r="F45" s="5" t="n">
        <f aca="false">C45*D45*E45</f>
        <v>45560</v>
      </c>
      <c r="G45" s="5" t="n">
        <f aca="false">'Laundry Revenue'!G51</f>
        <v>1161</v>
      </c>
      <c r="H45" s="5" t="n">
        <f aca="false">F45+G45</f>
        <v>46721</v>
      </c>
      <c r="I45" s="5" t="n">
        <f aca="false">F45-G45</f>
        <v>44399</v>
      </c>
      <c r="J45" s="5" t="n">
        <f aca="false">H45-I45</f>
        <v>2322</v>
      </c>
      <c r="K45" s="5" t="n">
        <f aca="false">H45-I45</f>
        <v>2322</v>
      </c>
      <c r="L45" s="5" t="n">
        <f aca="false">J45-K45</f>
        <v>0</v>
      </c>
      <c r="M45" s="13" t="n">
        <f aca="false">IF(K45=0,0,J45/K45)</f>
        <v>1</v>
      </c>
    </row>
    <row r="46" customFormat="false" ht="15" hidden="false" customHeight="false" outlineLevel="0" collapsed="false">
      <c r="A46" s="0" t="n">
        <v>4</v>
      </c>
      <c r="B46" s="0" t="n">
        <v>7</v>
      </c>
      <c r="C46" s="0" t="n">
        <v>67</v>
      </c>
      <c r="D46" s="12" t="n">
        <v>0.8</v>
      </c>
      <c r="E46" s="5" t="n">
        <v>850</v>
      </c>
      <c r="F46" s="5" t="n">
        <f aca="false">C46*D46*E46</f>
        <v>45560</v>
      </c>
      <c r="G46" s="5" t="n">
        <f aca="false">'Laundry Revenue'!G52</f>
        <v>1161</v>
      </c>
      <c r="H46" s="5" t="n">
        <f aca="false">F46+G46</f>
        <v>46721</v>
      </c>
      <c r="I46" s="5" t="n">
        <f aca="false">F46-G46</f>
        <v>44399</v>
      </c>
      <c r="J46" s="5" t="n">
        <f aca="false">H46-I46</f>
        <v>2322</v>
      </c>
      <c r="K46" s="5" t="n">
        <f aca="false">H46-I46</f>
        <v>2322</v>
      </c>
      <c r="L46" s="5" t="n">
        <f aca="false">J46-K46</f>
        <v>0</v>
      </c>
      <c r="M46" s="13" t="n">
        <f aca="false">IF(K46=0,0,J46/K46)</f>
        <v>1</v>
      </c>
    </row>
    <row r="47" customFormat="false" ht="15" hidden="false" customHeight="false" outlineLevel="0" collapsed="false">
      <c r="A47" s="0" t="n">
        <v>4</v>
      </c>
      <c r="B47" s="0" t="n">
        <v>8</v>
      </c>
      <c r="C47" s="0" t="n">
        <v>67</v>
      </c>
      <c r="D47" s="12" t="n">
        <v>0.8</v>
      </c>
      <c r="E47" s="5" t="n">
        <v>850</v>
      </c>
      <c r="F47" s="5" t="n">
        <f aca="false">C47*D47*E47</f>
        <v>45560</v>
      </c>
      <c r="G47" s="5" t="n">
        <f aca="false">'Laundry Revenue'!G53</f>
        <v>1161</v>
      </c>
      <c r="H47" s="5" t="n">
        <f aca="false">F47+G47</f>
        <v>46721</v>
      </c>
      <c r="I47" s="5" t="n">
        <f aca="false">F47-G47</f>
        <v>44399</v>
      </c>
      <c r="J47" s="5" t="n">
        <f aca="false">H47-I47</f>
        <v>2322</v>
      </c>
      <c r="K47" s="5" t="n">
        <f aca="false">H47-I47</f>
        <v>2322</v>
      </c>
      <c r="L47" s="5" t="n">
        <f aca="false">J47-K47</f>
        <v>0</v>
      </c>
      <c r="M47" s="13" t="n">
        <f aca="false">IF(K47=0,0,J47/K47)</f>
        <v>1</v>
      </c>
    </row>
    <row r="48" customFormat="false" ht="15" hidden="false" customHeight="false" outlineLevel="0" collapsed="false">
      <c r="A48" s="0" t="n">
        <v>4</v>
      </c>
      <c r="B48" s="0" t="n">
        <v>9</v>
      </c>
      <c r="C48" s="0" t="n">
        <v>67</v>
      </c>
      <c r="D48" s="12" t="n">
        <v>0.8</v>
      </c>
      <c r="E48" s="5" t="n">
        <v>850</v>
      </c>
      <c r="F48" s="5" t="n">
        <f aca="false">C48*D48*E48</f>
        <v>45560</v>
      </c>
      <c r="G48" s="5" t="n">
        <f aca="false">'Laundry Revenue'!G54</f>
        <v>1161</v>
      </c>
      <c r="H48" s="5" t="n">
        <f aca="false">F48+G48</f>
        <v>46721</v>
      </c>
      <c r="I48" s="5" t="n">
        <f aca="false">F48-G48</f>
        <v>44399</v>
      </c>
      <c r="J48" s="5" t="n">
        <f aca="false">H48-I48</f>
        <v>2322</v>
      </c>
      <c r="K48" s="5" t="n">
        <f aca="false">H48-I48</f>
        <v>2322</v>
      </c>
      <c r="L48" s="5" t="n">
        <f aca="false">J48-K48</f>
        <v>0</v>
      </c>
      <c r="M48" s="13" t="n">
        <f aca="false">IF(K48=0,0,J48/K48)</f>
        <v>1</v>
      </c>
    </row>
    <row r="49" customFormat="false" ht="15" hidden="false" customHeight="false" outlineLevel="0" collapsed="false">
      <c r="A49" s="0" t="n">
        <v>4</v>
      </c>
      <c r="B49" s="0" t="n">
        <v>10</v>
      </c>
      <c r="C49" s="0" t="n">
        <v>67</v>
      </c>
      <c r="D49" s="12" t="n">
        <v>0.8</v>
      </c>
      <c r="E49" s="5" t="n">
        <v>850</v>
      </c>
      <c r="F49" s="5" t="n">
        <f aca="false">C49*D49*E49</f>
        <v>45560</v>
      </c>
      <c r="G49" s="5" t="n">
        <f aca="false">'Laundry Revenue'!G55</f>
        <v>1161</v>
      </c>
      <c r="H49" s="5" t="n">
        <f aca="false">F49+G49</f>
        <v>46721</v>
      </c>
      <c r="I49" s="5" t="n">
        <f aca="false">F49-G49</f>
        <v>44399</v>
      </c>
      <c r="J49" s="5" t="n">
        <f aca="false">H49-I49</f>
        <v>2322</v>
      </c>
      <c r="K49" s="5" t="n">
        <f aca="false">H49-I49</f>
        <v>2322</v>
      </c>
      <c r="L49" s="5" t="n">
        <f aca="false">J49-K49</f>
        <v>0</v>
      </c>
      <c r="M49" s="13" t="n">
        <f aca="false">IF(K49=0,0,J49/K49)</f>
        <v>1</v>
      </c>
    </row>
    <row r="50" customFormat="false" ht="15" hidden="false" customHeight="false" outlineLevel="0" collapsed="false">
      <c r="A50" s="0" t="n">
        <v>4</v>
      </c>
      <c r="B50" s="0" t="n">
        <v>11</v>
      </c>
      <c r="C50" s="0" t="n">
        <v>67</v>
      </c>
      <c r="D50" s="12" t="n">
        <v>0.8</v>
      </c>
      <c r="E50" s="5" t="n">
        <v>850</v>
      </c>
      <c r="F50" s="5" t="n">
        <f aca="false">C50*D50*E50</f>
        <v>45560</v>
      </c>
      <c r="G50" s="5" t="n">
        <f aca="false">'Laundry Revenue'!G56</f>
        <v>1161</v>
      </c>
      <c r="H50" s="5" t="n">
        <f aca="false">F50+G50</f>
        <v>46721</v>
      </c>
      <c r="I50" s="5" t="n">
        <f aca="false">F50-G50</f>
        <v>44399</v>
      </c>
      <c r="J50" s="5" t="n">
        <f aca="false">H50-I50</f>
        <v>2322</v>
      </c>
      <c r="K50" s="5" t="n">
        <f aca="false">H50-I50</f>
        <v>2322</v>
      </c>
      <c r="L50" s="5" t="n">
        <f aca="false">J50-K50</f>
        <v>0</v>
      </c>
      <c r="M50" s="13" t="n">
        <f aca="false">IF(K50=0,0,J50/K50)</f>
        <v>1</v>
      </c>
    </row>
    <row r="51" customFormat="false" ht="15" hidden="false" customHeight="false" outlineLevel="0" collapsed="false">
      <c r="A51" s="0" t="n">
        <v>4</v>
      </c>
      <c r="B51" s="0" t="n">
        <v>12</v>
      </c>
      <c r="C51" s="0" t="n">
        <v>67</v>
      </c>
      <c r="D51" s="12" t="n">
        <v>0.8</v>
      </c>
      <c r="E51" s="5" t="n">
        <v>850</v>
      </c>
      <c r="F51" s="5" t="n">
        <f aca="false">C51*D51*E51</f>
        <v>45560</v>
      </c>
      <c r="G51" s="5" t="n">
        <f aca="false">'Laundry Revenue'!G57</f>
        <v>1161</v>
      </c>
      <c r="H51" s="5" t="n">
        <f aca="false">F51+G51</f>
        <v>46721</v>
      </c>
      <c r="I51" s="5" t="n">
        <f aca="false">F51-G51</f>
        <v>44399</v>
      </c>
      <c r="J51" s="5" t="n">
        <f aca="false">H51-I51</f>
        <v>2322</v>
      </c>
      <c r="K51" s="5" t="n">
        <f aca="false">H51-I51</f>
        <v>2322</v>
      </c>
      <c r="L51" s="5" t="n">
        <f aca="false">J51-K51</f>
        <v>0</v>
      </c>
      <c r="M51" s="13" t="n">
        <f aca="false">IF(K51=0,0,J51/K51)</f>
        <v>1</v>
      </c>
    </row>
    <row r="52" customFormat="false" ht="15" hidden="false" customHeight="false" outlineLevel="0" collapsed="false">
      <c r="A52" s="0" t="n">
        <v>5</v>
      </c>
      <c r="B52" s="0" t="n">
        <v>1</v>
      </c>
      <c r="C52" s="0" t="n">
        <v>67</v>
      </c>
      <c r="D52" s="12" t="n">
        <v>0.8</v>
      </c>
      <c r="E52" s="5" t="n">
        <v>850</v>
      </c>
      <c r="F52" s="5" t="n">
        <f aca="false">C52*D52*E52</f>
        <v>45560</v>
      </c>
      <c r="G52" s="5" t="n">
        <f aca="false">'Laundry Revenue'!G58</f>
        <v>1161</v>
      </c>
      <c r="H52" s="5" t="n">
        <f aca="false">F52+G52</f>
        <v>46721</v>
      </c>
      <c r="I52" s="5" t="n">
        <f aca="false">F52-G52</f>
        <v>44399</v>
      </c>
      <c r="J52" s="5" t="n">
        <f aca="false">H52-I52</f>
        <v>2322</v>
      </c>
      <c r="K52" s="5" t="n">
        <f aca="false">H52-I52</f>
        <v>2322</v>
      </c>
      <c r="L52" s="5" t="n">
        <f aca="false">J52-K52</f>
        <v>0</v>
      </c>
      <c r="M52" s="13" t="n">
        <f aca="false">IF(K52=0,0,J52/K52)</f>
        <v>1</v>
      </c>
    </row>
    <row r="53" customFormat="false" ht="15" hidden="false" customHeight="false" outlineLevel="0" collapsed="false">
      <c r="A53" s="0" t="n">
        <v>5</v>
      </c>
      <c r="B53" s="0" t="n">
        <v>2</v>
      </c>
      <c r="C53" s="0" t="n">
        <v>67</v>
      </c>
      <c r="D53" s="12" t="n">
        <v>0.8</v>
      </c>
      <c r="E53" s="5" t="n">
        <v>850</v>
      </c>
      <c r="F53" s="5" t="n">
        <f aca="false">C53*D53*E53</f>
        <v>45560</v>
      </c>
      <c r="G53" s="5" t="n">
        <f aca="false">'Laundry Revenue'!G59</f>
        <v>1161</v>
      </c>
      <c r="H53" s="5" t="n">
        <f aca="false">F53+G53</f>
        <v>46721</v>
      </c>
      <c r="I53" s="5" t="n">
        <f aca="false">F53-G53</f>
        <v>44399</v>
      </c>
      <c r="J53" s="5" t="n">
        <f aca="false">H53-I53</f>
        <v>2322</v>
      </c>
      <c r="K53" s="5" t="n">
        <f aca="false">H53-I53</f>
        <v>2322</v>
      </c>
      <c r="L53" s="5" t="n">
        <f aca="false">J53-K53</f>
        <v>0</v>
      </c>
      <c r="M53" s="13" t="n">
        <f aca="false">IF(K53=0,0,J53/K53)</f>
        <v>1</v>
      </c>
    </row>
    <row r="54" customFormat="false" ht="15" hidden="false" customHeight="false" outlineLevel="0" collapsed="false">
      <c r="A54" s="0" t="n">
        <v>5</v>
      </c>
      <c r="B54" s="0" t="n">
        <v>3</v>
      </c>
      <c r="C54" s="0" t="n">
        <v>67</v>
      </c>
      <c r="D54" s="12" t="n">
        <v>0.8</v>
      </c>
      <c r="E54" s="5" t="n">
        <v>850</v>
      </c>
      <c r="F54" s="5" t="n">
        <f aca="false">C54*D54*E54</f>
        <v>45560</v>
      </c>
      <c r="G54" s="5" t="n">
        <f aca="false">'Laundry Revenue'!G60</f>
        <v>1161</v>
      </c>
      <c r="H54" s="5" t="n">
        <f aca="false">F54+G54</f>
        <v>46721</v>
      </c>
      <c r="I54" s="5" t="n">
        <f aca="false">F54-G54</f>
        <v>44399</v>
      </c>
      <c r="J54" s="5" t="n">
        <f aca="false">H54-I54</f>
        <v>2322</v>
      </c>
      <c r="K54" s="5" t="n">
        <f aca="false">H54-I54</f>
        <v>2322</v>
      </c>
      <c r="L54" s="5" t="n">
        <f aca="false">J54-K54</f>
        <v>0</v>
      </c>
      <c r="M54" s="13" t="n">
        <f aca="false">IF(K54=0,0,J54/K54)</f>
        <v>1</v>
      </c>
    </row>
    <row r="55" customFormat="false" ht="15" hidden="false" customHeight="false" outlineLevel="0" collapsed="false">
      <c r="A55" s="0" t="n">
        <v>5</v>
      </c>
      <c r="B55" s="0" t="n">
        <v>4</v>
      </c>
      <c r="C55" s="0" t="n">
        <v>67</v>
      </c>
      <c r="D55" s="12" t="n">
        <v>0.8</v>
      </c>
      <c r="E55" s="5" t="n">
        <v>850</v>
      </c>
      <c r="F55" s="5" t="n">
        <f aca="false">C55*D55*E55</f>
        <v>45560</v>
      </c>
      <c r="G55" s="5" t="n">
        <f aca="false">'Laundry Revenue'!G61</f>
        <v>1161</v>
      </c>
      <c r="H55" s="5" t="n">
        <f aca="false">F55+G55</f>
        <v>46721</v>
      </c>
      <c r="I55" s="5" t="n">
        <f aca="false">F55-G55</f>
        <v>44399</v>
      </c>
      <c r="J55" s="5" t="n">
        <f aca="false">H55-I55</f>
        <v>2322</v>
      </c>
      <c r="K55" s="5" t="n">
        <f aca="false">H55-I55</f>
        <v>2322</v>
      </c>
      <c r="L55" s="5" t="n">
        <f aca="false">J55-K55</f>
        <v>0</v>
      </c>
      <c r="M55" s="13" t="n">
        <f aca="false">IF(K55=0,0,J55/K55)</f>
        <v>1</v>
      </c>
    </row>
    <row r="56" customFormat="false" ht="15" hidden="false" customHeight="false" outlineLevel="0" collapsed="false">
      <c r="A56" s="0" t="n">
        <v>5</v>
      </c>
      <c r="B56" s="0" t="n">
        <v>5</v>
      </c>
      <c r="C56" s="0" t="n">
        <v>67</v>
      </c>
      <c r="D56" s="12" t="n">
        <v>0.8</v>
      </c>
      <c r="E56" s="5" t="n">
        <v>850</v>
      </c>
      <c r="F56" s="5" t="n">
        <f aca="false">C56*D56*E56</f>
        <v>45560</v>
      </c>
      <c r="G56" s="5" t="n">
        <f aca="false">'Laundry Revenue'!G62</f>
        <v>1161</v>
      </c>
      <c r="H56" s="5" t="n">
        <f aca="false">F56+G56</f>
        <v>46721</v>
      </c>
      <c r="I56" s="5" t="n">
        <f aca="false">F56-G56</f>
        <v>44399</v>
      </c>
      <c r="J56" s="5" t="n">
        <f aca="false">H56-I56</f>
        <v>2322</v>
      </c>
      <c r="K56" s="5" t="n">
        <f aca="false">H56-I56</f>
        <v>2322</v>
      </c>
      <c r="L56" s="5" t="n">
        <f aca="false">J56-K56</f>
        <v>0</v>
      </c>
      <c r="M56" s="13" t="n">
        <f aca="false">IF(K56=0,0,J56/K56)</f>
        <v>1</v>
      </c>
    </row>
    <row r="57" customFormat="false" ht="15" hidden="false" customHeight="false" outlineLevel="0" collapsed="false">
      <c r="A57" s="0" t="n">
        <v>5</v>
      </c>
      <c r="B57" s="0" t="n">
        <v>6</v>
      </c>
      <c r="C57" s="0" t="n">
        <v>67</v>
      </c>
      <c r="D57" s="12" t="n">
        <v>0.8</v>
      </c>
      <c r="E57" s="5" t="n">
        <v>850</v>
      </c>
      <c r="F57" s="5" t="n">
        <f aca="false">C57*D57*E57</f>
        <v>45560</v>
      </c>
      <c r="G57" s="5" t="n">
        <f aca="false">'Laundry Revenue'!G63</f>
        <v>1161</v>
      </c>
      <c r="H57" s="5" t="n">
        <f aca="false">F57+G57</f>
        <v>46721</v>
      </c>
      <c r="I57" s="5" t="n">
        <f aca="false">F57-G57</f>
        <v>44399</v>
      </c>
      <c r="J57" s="5" t="n">
        <f aca="false">H57-I57</f>
        <v>2322</v>
      </c>
      <c r="K57" s="5" t="n">
        <f aca="false">H57-I57</f>
        <v>2322</v>
      </c>
      <c r="L57" s="5" t="n">
        <f aca="false">J57-K57</f>
        <v>0</v>
      </c>
      <c r="M57" s="13" t="n">
        <f aca="false">IF(K57=0,0,J57/K57)</f>
        <v>1</v>
      </c>
    </row>
    <row r="58" customFormat="false" ht="15" hidden="false" customHeight="false" outlineLevel="0" collapsed="false">
      <c r="A58" s="0" t="n">
        <v>5</v>
      </c>
      <c r="B58" s="0" t="n">
        <v>7</v>
      </c>
      <c r="C58" s="0" t="n">
        <v>67</v>
      </c>
      <c r="D58" s="12" t="n">
        <v>0.8</v>
      </c>
      <c r="E58" s="5" t="n">
        <v>850</v>
      </c>
      <c r="F58" s="5" t="n">
        <f aca="false">C58*D58*E58</f>
        <v>45560</v>
      </c>
      <c r="G58" s="5" t="n">
        <f aca="false">'Laundry Revenue'!G64</f>
        <v>1161</v>
      </c>
      <c r="H58" s="5" t="n">
        <f aca="false">F58+G58</f>
        <v>46721</v>
      </c>
      <c r="I58" s="5" t="n">
        <f aca="false">F58-G58</f>
        <v>44399</v>
      </c>
      <c r="J58" s="5" t="n">
        <f aca="false">H58-I58</f>
        <v>2322</v>
      </c>
      <c r="K58" s="5" t="n">
        <f aca="false">H58-I58</f>
        <v>2322</v>
      </c>
      <c r="L58" s="5" t="n">
        <f aca="false">J58-K58</f>
        <v>0</v>
      </c>
      <c r="M58" s="13" t="n">
        <f aca="false">IF(K58=0,0,J58/K58)</f>
        <v>1</v>
      </c>
    </row>
    <row r="59" customFormat="false" ht="15" hidden="false" customHeight="false" outlineLevel="0" collapsed="false">
      <c r="A59" s="0" t="n">
        <v>5</v>
      </c>
      <c r="B59" s="0" t="n">
        <v>8</v>
      </c>
      <c r="C59" s="0" t="n">
        <v>67</v>
      </c>
      <c r="D59" s="12" t="n">
        <v>0.8</v>
      </c>
      <c r="E59" s="5" t="n">
        <v>850</v>
      </c>
      <c r="F59" s="5" t="n">
        <f aca="false">C59*D59*E59</f>
        <v>45560</v>
      </c>
      <c r="G59" s="5" t="n">
        <f aca="false">'Laundry Revenue'!G65</f>
        <v>1161</v>
      </c>
      <c r="H59" s="5" t="n">
        <f aca="false">F59+G59</f>
        <v>46721</v>
      </c>
      <c r="I59" s="5" t="n">
        <f aca="false">F59-G59</f>
        <v>44399</v>
      </c>
      <c r="J59" s="5" t="n">
        <f aca="false">H59-I59</f>
        <v>2322</v>
      </c>
      <c r="K59" s="5" t="n">
        <f aca="false">H59-I59</f>
        <v>2322</v>
      </c>
      <c r="L59" s="5" t="n">
        <f aca="false">J59-K59</f>
        <v>0</v>
      </c>
      <c r="M59" s="13" t="n">
        <f aca="false">IF(K59=0,0,J59/K59)</f>
        <v>1</v>
      </c>
    </row>
    <row r="60" customFormat="false" ht="15" hidden="false" customHeight="false" outlineLevel="0" collapsed="false">
      <c r="A60" s="0" t="n">
        <v>5</v>
      </c>
      <c r="B60" s="0" t="n">
        <v>9</v>
      </c>
      <c r="C60" s="0" t="n">
        <v>67</v>
      </c>
      <c r="D60" s="12" t="n">
        <v>0.8</v>
      </c>
      <c r="E60" s="5" t="n">
        <v>850</v>
      </c>
      <c r="F60" s="5" t="n">
        <f aca="false">C60*D60*E60</f>
        <v>45560</v>
      </c>
      <c r="G60" s="5" t="n">
        <f aca="false">'Laundry Revenue'!G66</f>
        <v>1161</v>
      </c>
      <c r="H60" s="5" t="n">
        <f aca="false">F60+G60</f>
        <v>46721</v>
      </c>
      <c r="I60" s="5" t="n">
        <f aca="false">F60-G60</f>
        <v>44399</v>
      </c>
      <c r="J60" s="5" t="n">
        <f aca="false">H60-I60</f>
        <v>2322</v>
      </c>
      <c r="K60" s="5" t="n">
        <f aca="false">H60-I60</f>
        <v>2322</v>
      </c>
      <c r="L60" s="5" t="n">
        <f aca="false">J60-K60</f>
        <v>0</v>
      </c>
      <c r="M60" s="13" t="n">
        <f aca="false">IF(K60=0,0,J60/K60)</f>
        <v>1</v>
      </c>
    </row>
    <row r="61" customFormat="false" ht="15" hidden="false" customHeight="false" outlineLevel="0" collapsed="false">
      <c r="A61" s="0" t="n">
        <v>5</v>
      </c>
      <c r="B61" s="0" t="n">
        <v>10</v>
      </c>
      <c r="C61" s="0" t="n">
        <v>67</v>
      </c>
      <c r="D61" s="12" t="n">
        <v>0.8</v>
      </c>
      <c r="E61" s="5" t="n">
        <v>850</v>
      </c>
      <c r="F61" s="5" t="n">
        <f aca="false">C61*D61*E61</f>
        <v>45560</v>
      </c>
      <c r="G61" s="5" t="n">
        <f aca="false">'Laundry Revenue'!G67</f>
        <v>1161</v>
      </c>
      <c r="H61" s="5" t="n">
        <f aca="false">F61+G61</f>
        <v>46721</v>
      </c>
      <c r="I61" s="5" t="n">
        <f aca="false">F61-G61</f>
        <v>44399</v>
      </c>
      <c r="J61" s="5" t="n">
        <f aca="false">H61-I61</f>
        <v>2322</v>
      </c>
      <c r="K61" s="5" t="n">
        <f aca="false">H61-I61</f>
        <v>2322</v>
      </c>
      <c r="L61" s="5" t="n">
        <f aca="false">J61-K61</f>
        <v>0</v>
      </c>
      <c r="M61" s="13" t="n">
        <f aca="false">IF(K61=0,0,J61/K61)</f>
        <v>1</v>
      </c>
    </row>
    <row r="62" customFormat="false" ht="15" hidden="false" customHeight="false" outlineLevel="0" collapsed="false">
      <c r="A62" s="0" t="n">
        <v>5</v>
      </c>
      <c r="B62" s="0" t="n">
        <v>11</v>
      </c>
      <c r="C62" s="0" t="n">
        <v>67</v>
      </c>
      <c r="D62" s="12" t="n">
        <v>0.8</v>
      </c>
      <c r="E62" s="5" t="n">
        <v>850</v>
      </c>
      <c r="F62" s="5" t="n">
        <f aca="false">C62*D62*E62</f>
        <v>45560</v>
      </c>
      <c r="G62" s="5" t="n">
        <f aca="false">'Laundry Revenue'!G68</f>
        <v>1161</v>
      </c>
      <c r="H62" s="5" t="n">
        <f aca="false">F62+G62</f>
        <v>46721</v>
      </c>
      <c r="I62" s="5" t="n">
        <f aca="false">F62-G62</f>
        <v>44399</v>
      </c>
      <c r="J62" s="5" t="n">
        <f aca="false">H62-I62</f>
        <v>2322</v>
      </c>
      <c r="K62" s="5" t="n">
        <f aca="false">H62-I62</f>
        <v>2322</v>
      </c>
      <c r="L62" s="5" t="n">
        <f aca="false">J62-K62</f>
        <v>0</v>
      </c>
      <c r="M62" s="13" t="n">
        <f aca="false">IF(K62=0,0,J62/K62)</f>
        <v>1</v>
      </c>
    </row>
    <row r="63" customFormat="false" ht="15" hidden="false" customHeight="false" outlineLevel="0" collapsed="false">
      <c r="A63" s="0" t="n">
        <v>5</v>
      </c>
      <c r="B63" s="0" t="n">
        <v>12</v>
      </c>
      <c r="C63" s="0" t="n">
        <v>67</v>
      </c>
      <c r="D63" s="12" t="n">
        <v>0.8</v>
      </c>
      <c r="E63" s="5" t="n">
        <v>850</v>
      </c>
      <c r="F63" s="5" t="n">
        <f aca="false">C63*D63*E63</f>
        <v>45560</v>
      </c>
      <c r="G63" s="5" t="n">
        <f aca="false">'Laundry Revenue'!G69</f>
        <v>1161</v>
      </c>
      <c r="H63" s="5" t="n">
        <f aca="false">F63+G63</f>
        <v>46721</v>
      </c>
      <c r="I63" s="5" t="n">
        <f aca="false">F63-G63</f>
        <v>44399</v>
      </c>
      <c r="J63" s="5" t="n">
        <f aca="false">H63-I63</f>
        <v>2322</v>
      </c>
      <c r="K63" s="5" t="n">
        <f aca="false">H63-I63</f>
        <v>2322</v>
      </c>
      <c r="L63" s="5" t="n">
        <f aca="false">J63-K63</f>
        <v>0</v>
      </c>
      <c r="M63" s="13" t="n">
        <f aca="false">IF(K63=0,0,J63/K63)</f>
        <v>1</v>
      </c>
    </row>
    <row r="64" customFormat="false" ht="15" hidden="false" customHeight="false" outlineLevel="0" collapsed="false">
      <c r="A64" s="0" t="n">
        <v>6</v>
      </c>
      <c r="B64" s="0" t="n">
        <v>1</v>
      </c>
      <c r="C64" s="0" t="n">
        <v>67</v>
      </c>
      <c r="D64" s="12" t="n">
        <v>0.8</v>
      </c>
      <c r="E64" s="5" t="n">
        <v>850</v>
      </c>
      <c r="F64" s="5" t="n">
        <f aca="false">C64*D64*E64</f>
        <v>45560</v>
      </c>
      <c r="G64" s="5" t="n">
        <f aca="false">'Laundry Revenue'!G70</f>
        <v>1161</v>
      </c>
      <c r="H64" s="5" t="n">
        <f aca="false">F64+G64</f>
        <v>46721</v>
      </c>
      <c r="I64" s="5" t="n">
        <f aca="false">F64-G64</f>
        <v>44399</v>
      </c>
      <c r="J64" s="5" t="n">
        <f aca="false">H64-I64</f>
        <v>2322</v>
      </c>
      <c r="K64" s="5" t="n">
        <f aca="false">H64-I64</f>
        <v>2322</v>
      </c>
      <c r="L64" s="5" t="n">
        <f aca="false">J64-K64</f>
        <v>0</v>
      </c>
      <c r="M64" s="13" t="n">
        <f aca="false">IF(K64=0,0,J64/K64)</f>
        <v>1</v>
      </c>
    </row>
    <row r="65" customFormat="false" ht="15" hidden="false" customHeight="false" outlineLevel="0" collapsed="false">
      <c r="A65" s="0" t="n">
        <v>6</v>
      </c>
      <c r="B65" s="0" t="n">
        <v>2</v>
      </c>
      <c r="C65" s="0" t="n">
        <v>67</v>
      </c>
      <c r="D65" s="12" t="n">
        <v>0.8</v>
      </c>
      <c r="E65" s="5" t="n">
        <v>850</v>
      </c>
      <c r="F65" s="5" t="n">
        <f aca="false">C65*D65*E65</f>
        <v>45560</v>
      </c>
      <c r="G65" s="5" t="n">
        <f aca="false">'Laundry Revenue'!G71</f>
        <v>1161</v>
      </c>
      <c r="H65" s="5" t="n">
        <f aca="false">F65+G65</f>
        <v>46721</v>
      </c>
      <c r="I65" s="5" t="n">
        <f aca="false">F65-G65</f>
        <v>44399</v>
      </c>
      <c r="J65" s="5" t="n">
        <f aca="false">H65-I65</f>
        <v>2322</v>
      </c>
      <c r="K65" s="5" t="n">
        <f aca="false">H65-I65</f>
        <v>2322</v>
      </c>
      <c r="L65" s="5" t="n">
        <f aca="false">J65-K65</f>
        <v>0</v>
      </c>
      <c r="M65" s="13" t="n">
        <f aca="false">IF(K65=0,0,J65/K65)</f>
        <v>1</v>
      </c>
    </row>
    <row r="66" customFormat="false" ht="15" hidden="false" customHeight="false" outlineLevel="0" collapsed="false">
      <c r="A66" s="0" t="n">
        <v>6</v>
      </c>
      <c r="B66" s="0" t="n">
        <v>3</v>
      </c>
      <c r="C66" s="0" t="n">
        <v>67</v>
      </c>
      <c r="D66" s="12" t="n">
        <v>0.8</v>
      </c>
      <c r="E66" s="5" t="n">
        <v>850</v>
      </c>
      <c r="F66" s="5" t="n">
        <f aca="false">C66*D66*E66</f>
        <v>45560</v>
      </c>
      <c r="G66" s="5" t="n">
        <f aca="false">'Laundry Revenue'!G72</f>
        <v>1161</v>
      </c>
      <c r="H66" s="5" t="n">
        <f aca="false">F66+G66</f>
        <v>46721</v>
      </c>
      <c r="I66" s="5" t="n">
        <f aca="false">F66-G66</f>
        <v>44399</v>
      </c>
      <c r="J66" s="5" t="n">
        <f aca="false">H66-I66</f>
        <v>2322</v>
      </c>
      <c r="K66" s="5" t="n">
        <f aca="false">H66-I66</f>
        <v>2322</v>
      </c>
      <c r="L66" s="5" t="n">
        <f aca="false">J66-K66</f>
        <v>0</v>
      </c>
      <c r="M66" s="13" t="n">
        <f aca="false">IF(K66=0,0,J66/K66)</f>
        <v>1</v>
      </c>
    </row>
    <row r="67" customFormat="false" ht="15" hidden="false" customHeight="false" outlineLevel="0" collapsed="false">
      <c r="A67" s="0" t="n">
        <v>6</v>
      </c>
      <c r="B67" s="0" t="n">
        <v>4</v>
      </c>
      <c r="C67" s="0" t="n">
        <v>67</v>
      </c>
      <c r="D67" s="12" t="n">
        <v>0.8</v>
      </c>
      <c r="E67" s="5" t="n">
        <v>850</v>
      </c>
      <c r="F67" s="5" t="n">
        <f aca="false">C67*D67*E67</f>
        <v>45560</v>
      </c>
      <c r="G67" s="5" t="n">
        <f aca="false">'Laundry Revenue'!G73</f>
        <v>1161</v>
      </c>
      <c r="H67" s="5" t="n">
        <f aca="false">F67+G67</f>
        <v>46721</v>
      </c>
      <c r="I67" s="5" t="n">
        <f aca="false">F67-G67</f>
        <v>44399</v>
      </c>
      <c r="J67" s="5" t="n">
        <f aca="false">H67-I67</f>
        <v>2322</v>
      </c>
      <c r="K67" s="5" t="n">
        <f aca="false">H67-I67</f>
        <v>2322</v>
      </c>
      <c r="L67" s="5" t="n">
        <f aca="false">J67-K67</f>
        <v>0</v>
      </c>
      <c r="M67" s="13" t="n">
        <f aca="false">IF(K67=0,0,J67/K67)</f>
        <v>1</v>
      </c>
    </row>
    <row r="68" customFormat="false" ht="15" hidden="false" customHeight="false" outlineLevel="0" collapsed="false">
      <c r="A68" s="0" t="n">
        <v>6</v>
      </c>
      <c r="B68" s="0" t="n">
        <v>5</v>
      </c>
      <c r="C68" s="0" t="n">
        <v>67</v>
      </c>
      <c r="D68" s="12" t="n">
        <v>0.8</v>
      </c>
      <c r="E68" s="5" t="n">
        <v>850</v>
      </c>
      <c r="F68" s="5" t="n">
        <f aca="false">C68*D68*E68</f>
        <v>45560</v>
      </c>
      <c r="G68" s="5" t="n">
        <f aca="false">'Laundry Revenue'!G74</f>
        <v>1161</v>
      </c>
      <c r="H68" s="5" t="n">
        <f aca="false">F68+G68</f>
        <v>46721</v>
      </c>
      <c r="I68" s="5" t="n">
        <f aca="false">F68-G68</f>
        <v>44399</v>
      </c>
      <c r="J68" s="5" t="n">
        <f aca="false">H68-I68</f>
        <v>2322</v>
      </c>
      <c r="K68" s="5" t="n">
        <f aca="false">H68-I68</f>
        <v>2322</v>
      </c>
      <c r="L68" s="5" t="n">
        <f aca="false">J68-K68</f>
        <v>0</v>
      </c>
      <c r="M68" s="13" t="n">
        <f aca="false">IF(K68=0,0,J68/K68)</f>
        <v>1</v>
      </c>
    </row>
    <row r="69" customFormat="false" ht="15" hidden="false" customHeight="false" outlineLevel="0" collapsed="false">
      <c r="A69" s="0" t="n">
        <v>6</v>
      </c>
      <c r="B69" s="0" t="n">
        <v>6</v>
      </c>
      <c r="C69" s="0" t="n">
        <v>67</v>
      </c>
      <c r="D69" s="12" t="n">
        <v>0.8</v>
      </c>
      <c r="E69" s="5" t="n">
        <v>850</v>
      </c>
      <c r="F69" s="5" t="n">
        <f aca="false">C69*D69*E69</f>
        <v>45560</v>
      </c>
      <c r="G69" s="5" t="n">
        <f aca="false">'Laundry Revenue'!G75</f>
        <v>1161</v>
      </c>
      <c r="H69" s="5" t="n">
        <f aca="false">F69+G69</f>
        <v>46721</v>
      </c>
      <c r="I69" s="5" t="n">
        <f aca="false">F69-G69</f>
        <v>44399</v>
      </c>
      <c r="J69" s="5" t="n">
        <f aca="false">H69-I69</f>
        <v>2322</v>
      </c>
      <c r="K69" s="5" t="n">
        <f aca="false">H69-I69</f>
        <v>2322</v>
      </c>
      <c r="L69" s="5" t="n">
        <f aca="false">J69-K69</f>
        <v>0</v>
      </c>
      <c r="M69" s="13" t="n">
        <f aca="false">IF(K69=0,0,J69/K69)</f>
        <v>1</v>
      </c>
    </row>
    <row r="70" customFormat="false" ht="15" hidden="false" customHeight="false" outlineLevel="0" collapsed="false">
      <c r="A70" s="0" t="n">
        <v>6</v>
      </c>
      <c r="B70" s="0" t="n">
        <v>7</v>
      </c>
      <c r="C70" s="0" t="n">
        <v>67</v>
      </c>
      <c r="D70" s="12" t="n">
        <v>0.8</v>
      </c>
      <c r="E70" s="5" t="n">
        <v>850</v>
      </c>
      <c r="F70" s="5" t="n">
        <f aca="false">C70*D70*E70</f>
        <v>45560</v>
      </c>
      <c r="G70" s="5" t="n">
        <f aca="false">'Laundry Revenue'!G76</f>
        <v>1161</v>
      </c>
      <c r="H70" s="5" t="n">
        <f aca="false">F70+G70</f>
        <v>46721</v>
      </c>
      <c r="I70" s="5" t="n">
        <f aca="false">F70-G70</f>
        <v>44399</v>
      </c>
      <c r="J70" s="5" t="n">
        <f aca="false">H70-I70</f>
        <v>2322</v>
      </c>
      <c r="K70" s="5" t="n">
        <f aca="false">H70-I70</f>
        <v>2322</v>
      </c>
      <c r="L70" s="5" t="n">
        <f aca="false">J70-K70</f>
        <v>0</v>
      </c>
      <c r="M70" s="13" t="n">
        <f aca="false">IF(K70=0,0,J70/K70)</f>
        <v>1</v>
      </c>
    </row>
    <row r="71" customFormat="false" ht="15" hidden="false" customHeight="false" outlineLevel="0" collapsed="false">
      <c r="A71" s="0" t="n">
        <v>6</v>
      </c>
      <c r="B71" s="0" t="n">
        <v>8</v>
      </c>
      <c r="C71" s="0" t="n">
        <v>67</v>
      </c>
      <c r="D71" s="12" t="n">
        <v>0.8</v>
      </c>
      <c r="E71" s="5" t="n">
        <v>850</v>
      </c>
      <c r="F71" s="5" t="n">
        <f aca="false">C71*D71*E71</f>
        <v>45560</v>
      </c>
      <c r="G71" s="5" t="n">
        <f aca="false">'Laundry Revenue'!G77</f>
        <v>1161</v>
      </c>
      <c r="H71" s="5" t="n">
        <f aca="false">F71+G71</f>
        <v>46721</v>
      </c>
      <c r="I71" s="5" t="n">
        <f aca="false">F71-G71</f>
        <v>44399</v>
      </c>
      <c r="J71" s="5" t="n">
        <f aca="false">H71-I71</f>
        <v>2322</v>
      </c>
      <c r="K71" s="5" t="n">
        <f aca="false">H71-I71</f>
        <v>2322</v>
      </c>
      <c r="L71" s="5" t="n">
        <f aca="false">J71-K71</f>
        <v>0</v>
      </c>
      <c r="M71" s="13" t="n">
        <f aca="false">IF(K71=0,0,J71/K71)</f>
        <v>1</v>
      </c>
    </row>
    <row r="72" customFormat="false" ht="15" hidden="false" customHeight="false" outlineLevel="0" collapsed="false">
      <c r="A72" s="0" t="n">
        <v>6</v>
      </c>
      <c r="B72" s="0" t="n">
        <v>9</v>
      </c>
      <c r="C72" s="0" t="n">
        <v>67</v>
      </c>
      <c r="D72" s="12" t="n">
        <v>0.8</v>
      </c>
      <c r="E72" s="5" t="n">
        <v>850</v>
      </c>
      <c r="F72" s="5" t="n">
        <f aca="false">C72*D72*E72</f>
        <v>45560</v>
      </c>
      <c r="G72" s="5" t="n">
        <f aca="false">'Laundry Revenue'!G78</f>
        <v>1161</v>
      </c>
      <c r="H72" s="5" t="n">
        <f aca="false">F72+G72</f>
        <v>46721</v>
      </c>
      <c r="I72" s="5" t="n">
        <f aca="false">F72-G72</f>
        <v>44399</v>
      </c>
      <c r="J72" s="5" t="n">
        <f aca="false">H72-I72</f>
        <v>2322</v>
      </c>
      <c r="K72" s="5" t="n">
        <f aca="false">H72-I72</f>
        <v>2322</v>
      </c>
      <c r="L72" s="5" t="n">
        <f aca="false">J72-K72</f>
        <v>0</v>
      </c>
      <c r="M72" s="13" t="n">
        <f aca="false">IF(K72=0,0,J72/K72)</f>
        <v>1</v>
      </c>
    </row>
    <row r="73" customFormat="false" ht="15" hidden="false" customHeight="false" outlineLevel="0" collapsed="false">
      <c r="A73" s="0" t="n">
        <v>6</v>
      </c>
      <c r="B73" s="0" t="n">
        <v>10</v>
      </c>
      <c r="C73" s="0" t="n">
        <v>67</v>
      </c>
      <c r="D73" s="12" t="n">
        <v>0.8</v>
      </c>
      <c r="E73" s="5" t="n">
        <v>850</v>
      </c>
      <c r="F73" s="5" t="n">
        <f aca="false">C73*D73*E73</f>
        <v>45560</v>
      </c>
      <c r="G73" s="5" t="n">
        <f aca="false">'Laundry Revenue'!G79</f>
        <v>1161</v>
      </c>
      <c r="H73" s="5" t="n">
        <f aca="false">F73+G73</f>
        <v>46721</v>
      </c>
      <c r="I73" s="5" t="n">
        <f aca="false">F73-G73</f>
        <v>44399</v>
      </c>
      <c r="J73" s="5" t="n">
        <f aca="false">H73-I73</f>
        <v>2322</v>
      </c>
      <c r="K73" s="5" t="n">
        <f aca="false">H73-I73</f>
        <v>2322</v>
      </c>
      <c r="L73" s="5" t="n">
        <f aca="false">J73-K73</f>
        <v>0</v>
      </c>
      <c r="M73" s="13" t="n">
        <f aca="false">IF(K73=0,0,J73/K73)</f>
        <v>1</v>
      </c>
    </row>
    <row r="74" customFormat="false" ht="15" hidden="false" customHeight="false" outlineLevel="0" collapsed="false">
      <c r="A74" s="0" t="n">
        <v>6</v>
      </c>
      <c r="B74" s="0" t="n">
        <v>11</v>
      </c>
      <c r="C74" s="0" t="n">
        <v>67</v>
      </c>
      <c r="D74" s="12" t="n">
        <v>0.8</v>
      </c>
      <c r="E74" s="5" t="n">
        <v>850</v>
      </c>
      <c r="F74" s="5" t="n">
        <f aca="false">C74*D74*E74</f>
        <v>45560</v>
      </c>
      <c r="G74" s="5" t="n">
        <f aca="false">'Laundry Revenue'!G80</f>
        <v>1161</v>
      </c>
      <c r="H74" s="5" t="n">
        <f aca="false">F74+G74</f>
        <v>46721</v>
      </c>
      <c r="I74" s="5" t="n">
        <f aca="false">F74-G74</f>
        <v>44399</v>
      </c>
      <c r="J74" s="5" t="n">
        <f aca="false">H74-I74</f>
        <v>2322</v>
      </c>
      <c r="K74" s="5" t="n">
        <f aca="false">H74-I74</f>
        <v>2322</v>
      </c>
      <c r="L74" s="5" t="n">
        <f aca="false">J74-K74</f>
        <v>0</v>
      </c>
      <c r="M74" s="13" t="n">
        <f aca="false">IF(K74=0,0,J74/K74)</f>
        <v>1</v>
      </c>
    </row>
    <row r="75" customFormat="false" ht="15" hidden="false" customHeight="false" outlineLevel="0" collapsed="false">
      <c r="A75" s="0" t="n">
        <v>6</v>
      </c>
      <c r="B75" s="0" t="n">
        <v>12</v>
      </c>
      <c r="C75" s="0" t="n">
        <v>67</v>
      </c>
      <c r="D75" s="12" t="n">
        <v>0.8</v>
      </c>
      <c r="E75" s="5" t="n">
        <v>850</v>
      </c>
      <c r="F75" s="5" t="n">
        <f aca="false">C75*D75*E75</f>
        <v>45560</v>
      </c>
      <c r="G75" s="5" t="n">
        <f aca="false">'Laundry Revenue'!G81</f>
        <v>1161</v>
      </c>
      <c r="H75" s="5" t="n">
        <f aca="false">F75+G75</f>
        <v>46721</v>
      </c>
      <c r="I75" s="5" t="n">
        <f aca="false">F75-G75</f>
        <v>44399</v>
      </c>
      <c r="J75" s="5" t="n">
        <f aca="false">H75-I75</f>
        <v>2322</v>
      </c>
      <c r="K75" s="5" t="n">
        <f aca="false">H75-I75</f>
        <v>2322</v>
      </c>
      <c r="L75" s="5" t="n">
        <f aca="false">J75-K75</f>
        <v>0</v>
      </c>
      <c r="M75" s="13" t="n">
        <f aca="false">IF(K75=0,0,J75/K75)</f>
        <v>1</v>
      </c>
    </row>
    <row r="76" customFormat="false" ht="15" hidden="false" customHeight="false" outlineLevel="0" collapsed="false">
      <c r="A76" s="0" t="n">
        <v>7</v>
      </c>
      <c r="B76" s="0" t="n">
        <v>1</v>
      </c>
      <c r="C76" s="0" t="n">
        <v>67</v>
      </c>
      <c r="D76" s="12" t="n">
        <v>0.8</v>
      </c>
      <c r="E76" s="5" t="n">
        <v>850</v>
      </c>
      <c r="F76" s="5" t="n">
        <f aca="false">C76*D76*E76</f>
        <v>45560</v>
      </c>
      <c r="G76" s="5" t="n">
        <f aca="false">'Laundry Revenue'!G82</f>
        <v>1161</v>
      </c>
      <c r="H76" s="5" t="n">
        <f aca="false">F76+G76</f>
        <v>46721</v>
      </c>
      <c r="I76" s="5" t="n">
        <f aca="false">F76-G76</f>
        <v>44399</v>
      </c>
      <c r="J76" s="5" t="n">
        <f aca="false">H76-I76</f>
        <v>2322</v>
      </c>
      <c r="K76" s="5" t="n">
        <f aca="false">H76-I76</f>
        <v>2322</v>
      </c>
      <c r="L76" s="5" t="n">
        <f aca="false">J76-K76</f>
        <v>0</v>
      </c>
      <c r="M76" s="13" t="n">
        <f aca="false">IF(K76=0,0,J76/K76)</f>
        <v>1</v>
      </c>
    </row>
    <row r="77" customFormat="false" ht="15" hidden="false" customHeight="false" outlineLevel="0" collapsed="false">
      <c r="A77" s="0" t="n">
        <v>7</v>
      </c>
      <c r="B77" s="0" t="n">
        <v>2</v>
      </c>
      <c r="C77" s="0" t="n">
        <v>67</v>
      </c>
      <c r="D77" s="12" t="n">
        <v>0.8</v>
      </c>
      <c r="E77" s="5" t="n">
        <v>850</v>
      </c>
      <c r="F77" s="5" t="n">
        <f aca="false">C77*D77*E77</f>
        <v>45560</v>
      </c>
      <c r="G77" s="5" t="n">
        <f aca="false">'Laundry Revenue'!G83</f>
        <v>1161</v>
      </c>
      <c r="H77" s="5" t="n">
        <f aca="false">F77+G77</f>
        <v>46721</v>
      </c>
      <c r="I77" s="5" t="n">
        <f aca="false">F77-G77</f>
        <v>44399</v>
      </c>
      <c r="J77" s="5" t="n">
        <f aca="false">H77-I77</f>
        <v>2322</v>
      </c>
      <c r="K77" s="5" t="n">
        <f aca="false">H77-I77</f>
        <v>2322</v>
      </c>
      <c r="L77" s="5" t="n">
        <f aca="false">J77-K77</f>
        <v>0</v>
      </c>
      <c r="M77" s="13" t="n">
        <f aca="false">IF(K77=0,0,J77/K77)</f>
        <v>1</v>
      </c>
    </row>
    <row r="78" customFormat="false" ht="15" hidden="false" customHeight="false" outlineLevel="0" collapsed="false">
      <c r="A78" s="0" t="n">
        <v>7</v>
      </c>
      <c r="B78" s="0" t="n">
        <v>3</v>
      </c>
      <c r="C78" s="0" t="n">
        <v>67</v>
      </c>
      <c r="D78" s="12" t="n">
        <v>0.8</v>
      </c>
      <c r="E78" s="5" t="n">
        <v>850</v>
      </c>
      <c r="F78" s="5" t="n">
        <f aca="false">C78*D78*E78</f>
        <v>45560</v>
      </c>
      <c r="G78" s="5" t="n">
        <f aca="false">'Laundry Revenue'!G84</f>
        <v>1161</v>
      </c>
      <c r="H78" s="5" t="n">
        <f aca="false">F78+G78</f>
        <v>46721</v>
      </c>
      <c r="I78" s="5" t="n">
        <f aca="false">F78-G78</f>
        <v>44399</v>
      </c>
      <c r="J78" s="5" t="n">
        <f aca="false">H78-I78</f>
        <v>2322</v>
      </c>
      <c r="K78" s="5" t="n">
        <f aca="false">H78-I78</f>
        <v>2322</v>
      </c>
      <c r="L78" s="5" t="n">
        <f aca="false">J78-K78</f>
        <v>0</v>
      </c>
      <c r="M78" s="13" t="n">
        <f aca="false">IF(K78=0,0,J78/K78)</f>
        <v>1</v>
      </c>
    </row>
    <row r="79" customFormat="false" ht="15" hidden="false" customHeight="false" outlineLevel="0" collapsed="false">
      <c r="A79" s="0" t="n">
        <v>7</v>
      </c>
      <c r="B79" s="0" t="n">
        <v>4</v>
      </c>
      <c r="C79" s="0" t="n">
        <v>67</v>
      </c>
      <c r="D79" s="12" t="n">
        <v>0.8</v>
      </c>
      <c r="E79" s="5" t="n">
        <v>850</v>
      </c>
      <c r="F79" s="5" t="n">
        <f aca="false">C79*D79*E79</f>
        <v>45560</v>
      </c>
      <c r="G79" s="5" t="n">
        <f aca="false">'Laundry Revenue'!G85</f>
        <v>1161</v>
      </c>
      <c r="H79" s="5" t="n">
        <f aca="false">F79+G79</f>
        <v>46721</v>
      </c>
      <c r="I79" s="5" t="n">
        <f aca="false">F79-G79</f>
        <v>44399</v>
      </c>
      <c r="J79" s="5" t="n">
        <f aca="false">H79-I79</f>
        <v>2322</v>
      </c>
      <c r="K79" s="5" t="n">
        <f aca="false">H79-I79</f>
        <v>2322</v>
      </c>
      <c r="L79" s="5" t="n">
        <f aca="false">J79-K79</f>
        <v>0</v>
      </c>
      <c r="M79" s="13" t="n">
        <f aca="false">IF(K79=0,0,J79/K79)</f>
        <v>1</v>
      </c>
    </row>
    <row r="80" customFormat="false" ht="15" hidden="false" customHeight="false" outlineLevel="0" collapsed="false">
      <c r="A80" s="0" t="n">
        <v>7</v>
      </c>
      <c r="B80" s="0" t="n">
        <v>5</v>
      </c>
      <c r="C80" s="0" t="n">
        <v>67</v>
      </c>
      <c r="D80" s="12" t="n">
        <v>0.8</v>
      </c>
      <c r="E80" s="5" t="n">
        <v>850</v>
      </c>
      <c r="F80" s="5" t="n">
        <f aca="false">C80*D80*E80</f>
        <v>45560</v>
      </c>
      <c r="G80" s="5" t="n">
        <f aca="false">'Laundry Revenue'!G86</f>
        <v>1161</v>
      </c>
      <c r="H80" s="5" t="n">
        <f aca="false">F80+G80</f>
        <v>46721</v>
      </c>
      <c r="I80" s="5" t="n">
        <f aca="false">F80-G80</f>
        <v>44399</v>
      </c>
      <c r="J80" s="5" t="n">
        <f aca="false">H80-I80</f>
        <v>2322</v>
      </c>
      <c r="K80" s="5" t="n">
        <f aca="false">H80-I80</f>
        <v>2322</v>
      </c>
      <c r="L80" s="5" t="n">
        <f aca="false">J80-K80</f>
        <v>0</v>
      </c>
      <c r="M80" s="13" t="n">
        <f aca="false">IF(K80=0,0,J80/K80)</f>
        <v>1</v>
      </c>
    </row>
    <row r="81" customFormat="false" ht="15" hidden="false" customHeight="false" outlineLevel="0" collapsed="false">
      <c r="A81" s="0" t="n">
        <v>7</v>
      </c>
      <c r="B81" s="0" t="n">
        <v>6</v>
      </c>
      <c r="C81" s="0" t="n">
        <v>67</v>
      </c>
      <c r="D81" s="12" t="n">
        <v>0.8</v>
      </c>
      <c r="E81" s="5" t="n">
        <v>850</v>
      </c>
      <c r="F81" s="5" t="n">
        <f aca="false">C81*D81*E81</f>
        <v>45560</v>
      </c>
      <c r="G81" s="5" t="n">
        <f aca="false">'Laundry Revenue'!G87</f>
        <v>1161</v>
      </c>
      <c r="H81" s="5" t="n">
        <f aca="false">F81+G81</f>
        <v>46721</v>
      </c>
      <c r="I81" s="5" t="n">
        <f aca="false">F81-G81</f>
        <v>44399</v>
      </c>
      <c r="J81" s="5" t="n">
        <f aca="false">H81-I81</f>
        <v>2322</v>
      </c>
      <c r="K81" s="5" t="n">
        <f aca="false">H81-I81</f>
        <v>2322</v>
      </c>
      <c r="L81" s="5" t="n">
        <f aca="false">J81-K81</f>
        <v>0</v>
      </c>
      <c r="M81" s="13" t="n">
        <f aca="false">IF(K81=0,0,J81/K81)</f>
        <v>1</v>
      </c>
    </row>
    <row r="82" customFormat="false" ht="15" hidden="false" customHeight="false" outlineLevel="0" collapsed="false">
      <c r="A82" s="0" t="n">
        <v>7</v>
      </c>
      <c r="B82" s="0" t="n">
        <v>7</v>
      </c>
      <c r="C82" s="0" t="n">
        <v>67</v>
      </c>
      <c r="D82" s="12" t="n">
        <v>0.8</v>
      </c>
      <c r="E82" s="5" t="n">
        <v>850</v>
      </c>
      <c r="F82" s="5" t="n">
        <f aca="false">C82*D82*E82</f>
        <v>45560</v>
      </c>
      <c r="G82" s="5" t="n">
        <f aca="false">'Laundry Revenue'!G88</f>
        <v>1161</v>
      </c>
      <c r="H82" s="5" t="n">
        <f aca="false">F82+G82</f>
        <v>46721</v>
      </c>
      <c r="I82" s="5" t="n">
        <f aca="false">F82-G82</f>
        <v>44399</v>
      </c>
      <c r="J82" s="5" t="n">
        <f aca="false">H82-I82</f>
        <v>2322</v>
      </c>
      <c r="K82" s="5" t="n">
        <f aca="false">H82-I82</f>
        <v>2322</v>
      </c>
      <c r="L82" s="5" t="n">
        <f aca="false">J82-K82</f>
        <v>0</v>
      </c>
      <c r="M82" s="13" t="n">
        <f aca="false">IF(K82=0,0,J82/K82)</f>
        <v>1</v>
      </c>
    </row>
    <row r="83" customFormat="false" ht="15" hidden="false" customHeight="false" outlineLevel="0" collapsed="false">
      <c r="A83" s="0" t="n">
        <v>7</v>
      </c>
      <c r="B83" s="0" t="n">
        <v>8</v>
      </c>
      <c r="C83" s="0" t="n">
        <v>67</v>
      </c>
      <c r="D83" s="12" t="n">
        <v>0.8</v>
      </c>
      <c r="E83" s="5" t="n">
        <v>850</v>
      </c>
      <c r="F83" s="5" t="n">
        <f aca="false">C83*D83*E83</f>
        <v>45560</v>
      </c>
      <c r="G83" s="5" t="n">
        <f aca="false">'Laundry Revenue'!G89</f>
        <v>1161</v>
      </c>
      <c r="H83" s="5" t="n">
        <f aca="false">F83+G83</f>
        <v>46721</v>
      </c>
      <c r="I83" s="5" t="n">
        <f aca="false">F83-G83</f>
        <v>44399</v>
      </c>
      <c r="J83" s="5" t="n">
        <f aca="false">H83-I83</f>
        <v>2322</v>
      </c>
      <c r="K83" s="5" t="n">
        <f aca="false">H83-I83</f>
        <v>2322</v>
      </c>
      <c r="L83" s="5" t="n">
        <f aca="false">J83-K83</f>
        <v>0</v>
      </c>
      <c r="M83" s="13" t="n">
        <f aca="false">IF(K83=0,0,J83/K83)</f>
        <v>1</v>
      </c>
    </row>
    <row r="84" customFormat="false" ht="15" hidden="false" customHeight="false" outlineLevel="0" collapsed="false">
      <c r="A84" s="0" t="n">
        <v>7</v>
      </c>
      <c r="B84" s="0" t="n">
        <v>9</v>
      </c>
      <c r="C84" s="0" t="n">
        <v>67</v>
      </c>
      <c r="D84" s="12" t="n">
        <v>0.8</v>
      </c>
      <c r="E84" s="5" t="n">
        <v>850</v>
      </c>
      <c r="F84" s="5" t="n">
        <f aca="false">C84*D84*E84</f>
        <v>45560</v>
      </c>
      <c r="G84" s="5" t="n">
        <f aca="false">'Laundry Revenue'!G90</f>
        <v>1161</v>
      </c>
      <c r="H84" s="5" t="n">
        <f aca="false">F84+G84</f>
        <v>46721</v>
      </c>
      <c r="I84" s="5" t="n">
        <f aca="false">F84-G84</f>
        <v>44399</v>
      </c>
      <c r="J84" s="5" t="n">
        <f aca="false">H84-I84</f>
        <v>2322</v>
      </c>
      <c r="K84" s="5" t="n">
        <f aca="false">H84-I84</f>
        <v>2322</v>
      </c>
      <c r="L84" s="5" t="n">
        <f aca="false">J84-K84</f>
        <v>0</v>
      </c>
      <c r="M84" s="13" t="n">
        <f aca="false">IF(K84=0,0,J84/K84)</f>
        <v>1</v>
      </c>
    </row>
    <row r="85" customFormat="false" ht="15" hidden="false" customHeight="false" outlineLevel="0" collapsed="false">
      <c r="A85" s="0" t="n">
        <v>7</v>
      </c>
      <c r="B85" s="0" t="n">
        <v>10</v>
      </c>
      <c r="C85" s="0" t="n">
        <v>67</v>
      </c>
      <c r="D85" s="12" t="n">
        <v>0.8</v>
      </c>
      <c r="E85" s="5" t="n">
        <v>850</v>
      </c>
      <c r="F85" s="5" t="n">
        <f aca="false">C85*D85*E85</f>
        <v>45560</v>
      </c>
      <c r="G85" s="5" t="n">
        <f aca="false">'Laundry Revenue'!G91</f>
        <v>1161</v>
      </c>
      <c r="H85" s="5" t="n">
        <f aca="false">F85+G85</f>
        <v>46721</v>
      </c>
      <c r="I85" s="5" t="n">
        <f aca="false">F85-G85</f>
        <v>44399</v>
      </c>
      <c r="J85" s="5" t="n">
        <f aca="false">H85-I85</f>
        <v>2322</v>
      </c>
      <c r="K85" s="5" t="n">
        <f aca="false">H85-I85</f>
        <v>2322</v>
      </c>
      <c r="L85" s="5" t="n">
        <f aca="false">J85-K85</f>
        <v>0</v>
      </c>
      <c r="M85" s="13" t="n">
        <f aca="false">IF(K85=0,0,J85/K85)</f>
        <v>1</v>
      </c>
    </row>
    <row r="86" customFormat="false" ht="15" hidden="false" customHeight="false" outlineLevel="0" collapsed="false">
      <c r="A86" s="0" t="n">
        <v>7</v>
      </c>
      <c r="B86" s="0" t="n">
        <v>11</v>
      </c>
      <c r="C86" s="0" t="n">
        <v>67</v>
      </c>
      <c r="D86" s="12" t="n">
        <v>0.8</v>
      </c>
      <c r="E86" s="5" t="n">
        <v>850</v>
      </c>
      <c r="F86" s="5" t="n">
        <f aca="false">C86*D86*E86</f>
        <v>45560</v>
      </c>
      <c r="G86" s="5" t="n">
        <f aca="false">'Laundry Revenue'!G92</f>
        <v>1161</v>
      </c>
      <c r="H86" s="5" t="n">
        <f aca="false">F86+G86</f>
        <v>46721</v>
      </c>
      <c r="I86" s="5" t="n">
        <f aca="false">F86-G86</f>
        <v>44399</v>
      </c>
      <c r="J86" s="5" t="n">
        <f aca="false">H86-I86</f>
        <v>2322</v>
      </c>
      <c r="K86" s="5" t="n">
        <f aca="false">H86-I86</f>
        <v>2322</v>
      </c>
      <c r="L86" s="5" t="n">
        <f aca="false">J86-K86</f>
        <v>0</v>
      </c>
      <c r="M86" s="13" t="n">
        <f aca="false">IF(K86=0,0,J86/K86)</f>
        <v>1</v>
      </c>
    </row>
    <row r="87" customFormat="false" ht="15" hidden="false" customHeight="false" outlineLevel="0" collapsed="false">
      <c r="A87" s="0" t="n">
        <v>7</v>
      </c>
      <c r="B87" s="0" t="n">
        <v>12</v>
      </c>
      <c r="C87" s="0" t="n">
        <v>67</v>
      </c>
      <c r="D87" s="12" t="n">
        <v>0.8</v>
      </c>
      <c r="E87" s="5" t="n">
        <v>850</v>
      </c>
      <c r="F87" s="5" t="n">
        <f aca="false">C87*D87*E87</f>
        <v>45560</v>
      </c>
      <c r="G87" s="5" t="n">
        <f aca="false">'Laundry Revenue'!G93</f>
        <v>1161</v>
      </c>
      <c r="H87" s="5" t="n">
        <f aca="false">F87+G87</f>
        <v>46721</v>
      </c>
      <c r="I87" s="5" t="n">
        <f aca="false">F87-G87</f>
        <v>44399</v>
      </c>
      <c r="J87" s="5" t="n">
        <f aca="false">H87-I87</f>
        <v>2322</v>
      </c>
      <c r="K87" s="5" t="n">
        <f aca="false">H87-I87</f>
        <v>2322</v>
      </c>
      <c r="L87" s="5" t="n">
        <f aca="false">J87-K87</f>
        <v>0</v>
      </c>
      <c r="M87" s="13" t="n">
        <f aca="false">IF(K87=0,0,J87/K87)</f>
        <v>1</v>
      </c>
    </row>
    <row r="88" customFormat="false" ht="15" hidden="false" customHeight="false" outlineLevel="0" collapsed="false">
      <c r="A88" s="0" t="n">
        <v>8</v>
      </c>
      <c r="B88" s="0" t="n">
        <v>1</v>
      </c>
      <c r="C88" s="0" t="n">
        <v>67</v>
      </c>
      <c r="D88" s="12" t="n">
        <v>0.8</v>
      </c>
      <c r="E88" s="5" t="n">
        <v>850</v>
      </c>
      <c r="F88" s="5" t="n">
        <f aca="false">C88*D88*E88</f>
        <v>45560</v>
      </c>
      <c r="G88" s="5" t="n">
        <f aca="false">'Laundry Revenue'!G94</f>
        <v>1161</v>
      </c>
      <c r="H88" s="5" t="n">
        <f aca="false">F88+G88</f>
        <v>46721</v>
      </c>
      <c r="I88" s="5" t="n">
        <f aca="false">F88-G88</f>
        <v>44399</v>
      </c>
      <c r="J88" s="5" t="n">
        <f aca="false">H88-I88</f>
        <v>2322</v>
      </c>
      <c r="K88" s="5" t="n">
        <f aca="false">H88-I88</f>
        <v>2322</v>
      </c>
      <c r="L88" s="5" t="n">
        <f aca="false">J88-K88</f>
        <v>0</v>
      </c>
      <c r="M88" s="13" t="n">
        <f aca="false">IF(K88=0,0,J88/K88)</f>
        <v>1</v>
      </c>
    </row>
    <row r="89" customFormat="false" ht="15" hidden="false" customHeight="false" outlineLevel="0" collapsed="false">
      <c r="A89" s="0" t="n">
        <v>8</v>
      </c>
      <c r="B89" s="0" t="n">
        <v>2</v>
      </c>
      <c r="C89" s="0" t="n">
        <v>67</v>
      </c>
      <c r="D89" s="12" t="n">
        <v>0.8</v>
      </c>
      <c r="E89" s="5" t="n">
        <v>850</v>
      </c>
      <c r="F89" s="5" t="n">
        <f aca="false">C89*D89*E89</f>
        <v>45560</v>
      </c>
      <c r="G89" s="5" t="n">
        <f aca="false">'Laundry Revenue'!G95</f>
        <v>1161</v>
      </c>
      <c r="H89" s="5" t="n">
        <f aca="false">F89+G89</f>
        <v>46721</v>
      </c>
      <c r="I89" s="5" t="n">
        <f aca="false">F89-G89</f>
        <v>44399</v>
      </c>
      <c r="J89" s="5" t="n">
        <f aca="false">H89-I89</f>
        <v>2322</v>
      </c>
      <c r="K89" s="5" t="n">
        <f aca="false">H89-I89</f>
        <v>2322</v>
      </c>
      <c r="L89" s="5" t="n">
        <f aca="false">J89-K89</f>
        <v>0</v>
      </c>
      <c r="M89" s="13" t="n">
        <f aca="false">IF(K89=0,0,J89/K89)</f>
        <v>1</v>
      </c>
    </row>
    <row r="90" customFormat="false" ht="15" hidden="false" customHeight="false" outlineLevel="0" collapsed="false">
      <c r="A90" s="0" t="n">
        <v>8</v>
      </c>
      <c r="B90" s="0" t="n">
        <v>3</v>
      </c>
      <c r="C90" s="0" t="n">
        <v>67</v>
      </c>
      <c r="D90" s="12" t="n">
        <v>0.8</v>
      </c>
      <c r="E90" s="5" t="n">
        <v>850</v>
      </c>
      <c r="F90" s="5" t="n">
        <f aca="false">C90*D90*E90</f>
        <v>45560</v>
      </c>
      <c r="G90" s="5" t="n">
        <f aca="false">'Laundry Revenue'!G96</f>
        <v>1161</v>
      </c>
      <c r="H90" s="5" t="n">
        <f aca="false">F90+G90</f>
        <v>46721</v>
      </c>
      <c r="I90" s="5" t="n">
        <f aca="false">F90-G90</f>
        <v>44399</v>
      </c>
      <c r="J90" s="5" t="n">
        <f aca="false">H90-I90</f>
        <v>2322</v>
      </c>
      <c r="K90" s="5" t="n">
        <f aca="false">H90-I90</f>
        <v>2322</v>
      </c>
      <c r="L90" s="5" t="n">
        <f aca="false">J90-K90</f>
        <v>0</v>
      </c>
      <c r="M90" s="13" t="n">
        <f aca="false">IF(K90=0,0,J90/K90)</f>
        <v>1</v>
      </c>
    </row>
    <row r="91" customFormat="false" ht="15" hidden="false" customHeight="false" outlineLevel="0" collapsed="false">
      <c r="A91" s="0" t="n">
        <v>8</v>
      </c>
      <c r="B91" s="0" t="n">
        <v>4</v>
      </c>
      <c r="C91" s="0" t="n">
        <v>67</v>
      </c>
      <c r="D91" s="12" t="n">
        <v>0.8</v>
      </c>
      <c r="E91" s="5" t="n">
        <v>850</v>
      </c>
      <c r="F91" s="5" t="n">
        <f aca="false">C91*D91*E91</f>
        <v>45560</v>
      </c>
      <c r="G91" s="5" t="n">
        <f aca="false">'Laundry Revenue'!G97</f>
        <v>1161</v>
      </c>
      <c r="H91" s="5" t="n">
        <f aca="false">F91+G91</f>
        <v>46721</v>
      </c>
      <c r="I91" s="5" t="n">
        <f aca="false">F91-G91</f>
        <v>44399</v>
      </c>
      <c r="J91" s="5" t="n">
        <f aca="false">H91-I91</f>
        <v>2322</v>
      </c>
      <c r="K91" s="5" t="n">
        <f aca="false">H91-I91</f>
        <v>2322</v>
      </c>
      <c r="L91" s="5" t="n">
        <f aca="false">J91-K91</f>
        <v>0</v>
      </c>
      <c r="M91" s="13" t="n">
        <f aca="false">IF(K91=0,0,J91/K91)</f>
        <v>1</v>
      </c>
    </row>
    <row r="92" customFormat="false" ht="15" hidden="false" customHeight="false" outlineLevel="0" collapsed="false">
      <c r="A92" s="0" t="n">
        <v>8</v>
      </c>
      <c r="B92" s="0" t="n">
        <v>5</v>
      </c>
      <c r="C92" s="0" t="n">
        <v>67</v>
      </c>
      <c r="D92" s="12" t="n">
        <v>0.8</v>
      </c>
      <c r="E92" s="5" t="n">
        <v>850</v>
      </c>
      <c r="F92" s="5" t="n">
        <f aca="false">C92*D92*E92</f>
        <v>45560</v>
      </c>
      <c r="G92" s="5" t="n">
        <f aca="false">'Laundry Revenue'!G98</f>
        <v>1161</v>
      </c>
      <c r="H92" s="5" t="n">
        <f aca="false">F92+G92</f>
        <v>46721</v>
      </c>
      <c r="I92" s="5" t="n">
        <f aca="false">F92-G92</f>
        <v>44399</v>
      </c>
      <c r="J92" s="5" t="n">
        <f aca="false">H92-I92</f>
        <v>2322</v>
      </c>
      <c r="K92" s="5" t="n">
        <f aca="false">H92-I92</f>
        <v>2322</v>
      </c>
      <c r="L92" s="5" t="n">
        <f aca="false">J92-K92</f>
        <v>0</v>
      </c>
      <c r="M92" s="13" t="n">
        <f aca="false">IF(K92=0,0,J92/K92)</f>
        <v>1</v>
      </c>
    </row>
    <row r="93" customFormat="false" ht="15" hidden="false" customHeight="false" outlineLevel="0" collapsed="false">
      <c r="A93" s="0" t="n">
        <v>8</v>
      </c>
      <c r="B93" s="0" t="n">
        <v>6</v>
      </c>
      <c r="C93" s="0" t="n">
        <v>67</v>
      </c>
      <c r="D93" s="12" t="n">
        <v>0.8</v>
      </c>
      <c r="E93" s="5" t="n">
        <v>850</v>
      </c>
      <c r="F93" s="5" t="n">
        <f aca="false">C93*D93*E93</f>
        <v>45560</v>
      </c>
      <c r="G93" s="5" t="n">
        <f aca="false">'Laundry Revenue'!G99</f>
        <v>1161</v>
      </c>
      <c r="H93" s="5" t="n">
        <f aca="false">F93+G93</f>
        <v>46721</v>
      </c>
      <c r="I93" s="5" t="n">
        <f aca="false">F93-G93</f>
        <v>44399</v>
      </c>
      <c r="J93" s="5" t="n">
        <f aca="false">H93-I93</f>
        <v>2322</v>
      </c>
      <c r="K93" s="5" t="n">
        <f aca="false">H93-I93</f>
        <v>2322</v>
      </c>
      <c r="L93" s="5" t="n">
        <f aca="false">J93-K93</f>
        <v>0</v>
      </c>
      <c r="M93" s="13" t="n">
        <f aca="false">IF(K93=0,0,J93/K93)</f>
        <v>1</v>
      </c>
    </row>
    <row r="94" customFormat="false" ht="15" hidden="false" customHeight="false" outlineLevel="0" collapsed="false">
      <c r="A94" s="0" t="n">
        <v>8</v>
      </c>
      <c r="B94" s="0" t="n">
        <v>7</v>
      </c>
      <c r="C94" s="0" t="n">
        <v>67</v>
      </c>
      <c r="D94" s="12" t="n">
        <v>0.8</v>
      </c>
      <c r="E94" s="5" t="n">
        <v>850</v>
      </c>
      <c r="F94" s="5" t="n">
        <f aca="false">C94*D94*E94</f>
        <v>45560</v>
      </c>
      <c r="G94" s="5" t="n">
        <f aca="false">'Laundry Revenue'!G100</f>
        <v>1161</v>
      </c>
      <c r="H94" s="5" t="n">
        <f aca="false">F94+G94</f>
        <v>46721</v>
      </c>
      <c r="I94" s="5" t="n">
        <f aca="false">F94-G94</f>
        <v>44399</v>
      </c>
      <c r="J94" s="5" t="n">
        <f aca="false">H94-I94</f>
        <v>2322</v>
      </c>
      <c r="K94" s="5" t="n">
        <f aca="false">H94-I94</f>
        <v>2322</v>
      </c>
      <c r="L94" s="5" t="n">
        <f aca="false">J94-K94</f>
        <v>0</v>
      </c>
      <c r="M94" s="13" t="n">
        <f aca="false">IF(K94=0,0,J94/K94)</f>
        <v>1</v>
      </c>
    </row>
    <row r="95" customFormat="false" ht="15" hidden="false" customHeight="false" outlineLevel="0" collapsed="false">
      <c r="A95" s="0" t="n">
        <v>8</v>
      </c>
      <c r="B95" s="0" t="n">
        <v>8</v>
      </c>
      <c r="C95" s="0" t="n">
        <v>67</v>
      </c>
      <c r="D95" s="12" t="n">
        <v>0.8</v>
      </c>
      <c r="E95" s="5" t="n">
        <v>850</v>
      </c>
      <c r="F95" s="5" t="n">
        <f aca="false">C95*D95*E95</f>
        <v>45560</v>
      </c>
      <c r="G95" s="5" t="n">
        <f aca="false">'Laundry Revenue'!G101</f>
        <v>1161</v>
      </c>
      <c r="H95" s="5" t="n">
        <f aca="false">F95+G95</f>
        <v>46721</v>
      </c>
      <c r="I95" s="5" t="n">
        <f aca="false">F95-G95</f>
        <v>44399</v>
      </c>
      <c r="J95" s="5" t="n">
        <f aca="false">H95-I95</f>
        <v>2322</v>
      </c>
      <c r="K95" s="5" t="n">
        <f aca="false">H95-I95</f>
        <v>2322</v>
      </c>
      <c r="L95" s="5" t="n">
        <f aca="false">J95-K95</f>
        <v>0</v>
      </c>
      <c r="M95" s="13" t="n">
        <f aca="false">IF(K95=0,0,J95/K95)</f>
        <v>1</v>
      </c>
    </row>
    <row r="96" customFormat="false" ht="15" hidden="false" customHeight="false" outlineLevel="0" collapsed="false">
      <c r="A96" s="0" t="n">
        <v>8</v>
      </c>
      <c r="B96" s="0" t="n">
        <v>9</v>
      </c>
      <c r="C96" s="0" t="n">
        <v>67</v>
      </c>
      <c r="D96" s="12" t="n">
        <v>0.8</v>
      </c>
      <c r="E96" s="5" t="n">
        <v>850</v>
      </c>
      <c r="F96" s="5" t="n">
        <f aca="false">C96*D96*E96</f>
        <v>45560</v>
      </c>
      <c r="G96" s="5" t="n">
        <f aca="false">'Laundry Revenue'!G102</f>
        <v>1161</v>
      </c>
      <c r="H96" s="5" t="n">
        <f aca="false">F96+G96</f>
        <v>46721</v>
      </c>
      <c r="I96" s="5" t="n">
        <f aca="false">F96-G96</f>
        <v>44399</v>
      </c>
      <c r="J96" s="5" t="n">
        <f aca="false">H96-I96</f>
        <v>2322</v>
      </c>
      <c r="K96" s="5" t="n">
        <f aca="false">H96-I96</f>
        <v>2322</v>
      </c>
      <c r="L96" s="5" t="n">
        <f aca="false">J96-K96</f>
        <v>0</v>
      </c>
      <c r="M96" s="13" t="n">
        <f aca="false">IF(K96=0,0,J96/K96)</f>
        <v>1</v>
      </c>
    </row>
    <row r="97" customFormat="false" ht="15" hidden="false" customHeight="false" outlineLevel="0" collapsed="false">
      <c r="A97" s="0" t="n">
        <v>8</v>
      </c>
      <c r="B97" s="0" t="n">
        <v>10</v>
      </c>
      <c r="C97" s="0" t="n">
        <v>67</v>
      </c>
      <c r="D97" s="12" t="n">
        <v>0.8</v>
      </c>
      <c r="E97" s="5" t="n">
        <v>850</v>
      </c>
      <c r="F97" s="5" t="n">
        <f aca="false">C97*D97*E97</f>
        <v>45560</v>
      </c>
      <c r="G97" s="5" t="n">
        <f aca="false">'Laundry Revenue'!G103</f>
        <v>1161</v>
      </c>
      <c r="H97" s="5" t="n">
        <f aca="false">F97+G97</f>
        <v>46721</v>
      </c>
      <c r="I97" s="5" t="n">
        <f aca="false">F97-G97</f>
        <v>44399</v>
      </c>
      <c r="J97" s="5" t="n">
        <f aca="false">H97-I97</f>
        <v>2322</v>
      </c>
      <c r="K97" s="5" t="n">
        <f aca="false">H97-I97</f>
        <v>2322</v>
      </c>
      <c r="L97" s="5" t="n">
        <f aca="false">J97-K97</f>
        <v>0</v>
      </c>
      <c r="M97" s="13" t="n">
        <f aca="false">IF(K97=0,0,J97/K97)</f>
        <v>1</v>
      </c>
    </row>
    <row r="98" customFormat="false" ht="15" hidden="false" customHeight="false" outlineLevel="0" collapsed="false">
      <c r="A98" s="0" t="n">
        <v>8</v>
      </c>
      <c r="B98" s="0" t="n">
        <v>11</v>
      </c>
      <c r="C98" s="0" t="n">
        <v>67</v>
      </c>
      <c r="D98" s="12" t="n">
        <v>0.8</v>
      </c>
      <c r="E98" s="5" t="n">
        <v>850</v>
      </c>
      <c r="F98" s="5" t="n">
        <f aca="false">C98*D98*E98</f>
        <v>45560</v>
      </c>
      <c r="G98" s="5" t="n">
        <f aca="false">'Laundry Revenue'!G104</f>
        <v>1161</v>
      </c>
      <c r="H98" s="5" t="n">
        <f aca="false">F98+G98</f>
        <v>46721</v>
      </c>
      <c r="I98" s="5" t="n">
        <f aca="false">F98-G98</f>
        <v>44399</v>
      </c>
      <c r="J98" s="5" t="n">
        <f aca="false">H98-I98</f>
        <v>2322</v>
      </c>
      <c r="K98" s="5" t="n">
        <f aca="false">H98-I98</f>
        <v>2322</v>
      </c>
      <c r="L98" s="5" t="n">
        <f aca="false">J98-K98</f>
        <v>0</v>
      </c>
      <c r="M98" s="13" t="n">
        <f aca="false">IF(K98=0,0,J98/K98)</f>
        <v>1</v>
      </c>
    </row>
    <row r="99" customFormat="false" ht="15" hidden="false" customHeight="false" outlineLevel="0" collapsed="false">
      <c r="A99" s="0" t="n">
        <v>8</v>
      </c>
      <c r="B99" s="0" t="n">
        <v>12</v>
      </c>
      <c r="C99" s="0" t="n">
        <v>67</v>
      </c>
      <c r="D99" s="12" t="n">
        <v>0.8</v>
      </c>
      <c r="E99" s="5" t="n">
        <v>850</v>
      </c>
      <c r="F99" s="5" t="n">
        <f aca="false">C99*D99*E99</f>
        <v>45560</v>
      </c>
      <c r="G99" s="5" t="n">
        <f aca="false">'Laundry Revenue'!G105</f>
        <v>1161</v>
      </c>
      <c r="H99" s="5" t="n">
        <f aca="false">F99+G99</f>
        <v>46721</v>
      </c>
      <c r="I99" s="5" t="n">
        <f aca="false">F99-G99</f>
        <v>44399</v>
      </c>
      <c r="J99" s="5" t="n">
        <f aca="false">H99-I99</f>
        <v>2322</v>
      </c>
      <c r="K99" s="5" t="n">
        <f aca="false">H99-I99</f>
        <v>2322</v>
      </c>
      <c r="L99" s="5" t="n">
        <f aca="false">J99-K99</f>
        <v>0</v>
      </c>
      <c r="M99" s="13" t="n">
        <f aca="false">IF(K99=0,0,J99/K99)</f>
        <v>1</v>
      </c>
    </row>
    <row r="100" customFormat="false" ht="15" hidden="false" customHeight="false" outlineLevel="0" collapsed="false">
      <c r="A100" s="0" t="n">
        <v>9</v>
      </c>
      <c r="B100" s="0" t="n">
        <v>1</v>
      </c>
      <c r="C100" s="0" t="n">
        <v>67</v>
      </c>
      <c r="D100" s="12" t="n">
        <v>0.8</v>
      </c>
      <c r="E100" s="5" t="n">
        <v>850</v>
      </c>
      <c r="F100" s="5" t="n">
        <f aca="false">C100*D100*E100</f>
        <v>45560</v>
      </c>
      <c r="G100" s="5" t="n">
        <f aca="false">'Laundry Revenue'!G106</f>
        <v>1161</v>
      </c>
      <c r="H100" s="5" t="n">
        <f aca="false">F100+G100</f>
        <v>46721</v>
      </c>
      <c r="I100" s="5" t="n">
        <f aca="false">F100-G100</f>
        <v>44399</v>
      </c>
      <c r="J100" s="5" t="n">
        <f aca="false">H100-I100</f>
        <v>2322</v>
      </c>
      <c r="K100" s="5" t="n">
        <f aca="false">H100-I100</f>
        <v>2322</v>
      </c>
      <c r="L100" s="5" t="n">
        <f aca="false">J100-K100</f>
        <v>0</v>
      </c>
      <c r="M100" s="13" t="n">
        <f aca="false">IF(K100=0,0,J100/K100)</f>
        <v>1</v>
      </c>
    </row>
    <row r="101" customFormat="false" ht="15" hidden="false" customHeight="false" outlineLevel="0" collapsed="false">
      <c r="A101" s="0" t="n">
        <v>9</v>
      </c>
      <c r="B101" s="0" t="n">
        <v>2</v>
      </c>
      <c r="C101" s="0" t="n">
        <v>67</v>
      </c>
      <c r="D101" s="12" t="n">
        <v>0.8</v>
      </c>
      <c r="E101" s="5" t="n">
        <v>850</v>
      </c>
      <c r="F101" s="5" t="n">
        <f aca="false">C101*D101*E101</f>
        <v>45560</v>
      </c>
      <c r="G101" s="5" t="n">
        <f aca="false">'Laundry Revenue'!G107</f>
        <v>1161</v>
      </c>
      <c r="H101" s="5" t="n">
        <f aca="false">F101+G101</f>
        <v>46721</v>
      </c>
      <c r="I101" s="5" t="n">
        <f aca="false">F101-G101</f>
        <v>44399</v>
      </c>
      <c r="J101" s="5" t="n">
        <f aca="false">H101-I101</f>
        <v>2322</v>
      </c>
      <c r="K101" s="5" t="n">
        <f aca="false">H101-I101</f>
        <v>2322</v>
      </c>
      <c r="L101" s="5" t="n">
        <f aca="false">J101-K101</f>
        <v>0</v>
      </c>
      <c r="M101" s="13" t="n">
        <f aca="false">IF(K101=0,0,J101/K101)</f>
        <v>1</v>
      </c>
    </row>
    <row r="102" customFormat="false" ht="15" hidden="false" customHeight="false" outlineLevel="0" collapsed="false">
      <c r="A102" s="0" t="n">
        <v>9</v>
      </c>
      <c r="B102" s="0" t="n">
        <v>3</v>
      </c>
      <c r="C102" s="0" t="n">
        <v>67</v>
      </c>
      <c r="D102" s="12" t="n">
        <v>0.8</v>
      </c>
      <c r="E102" s="5" t="n">
        <v>850</v>
      </c>
      <c r="F102" s="5" t="n">
        <f aca="false">C102*D102*E102</f>
        <v>45560</v>
      </c>
      <c r="G102" s="5" t="n">
        <f aca="false">'Laundry Revenue'!G108</f>
        <v>1161</v>
      </c>
      <c r="H102" s="5" t="n">
        <f aca="false">F102+G102</f>
        <v>46721</v>
      </c>
      <c r="I102" s="5" t="n">
        <f aca="false">F102-G102</f>
        <v>44399</v>
      </c>
      <c r="J102" s="5" t="n">
        <f aca="false">H102-I102</f>
        <v>2322</v>
      </c>
      <c r="K102" s="5" t="n">
        <f aca="false">H102-I102</f>
        <v>2322</v>
      </c>
      <c r="L102" s="5" t="n">
        <f aca="false">J102-K102</f>
        <v>0</v>
      </c>
      <c r="M102" s="13" t="n">
        <f aca="false">IF(K102=0,0,J102/K102)</f>
        <v>1</v>
      </c>
    </row>
    <row r="103" customFormat="false" ht="15" hidden="false" customHeight="false" outlineLevel="0" collapsed="false">
      <c r="A103" s="0" t="n">
        <v>9</v>
      </c>
      <c r="B103" s="0" t="n">
        <v>4</v>
      </c>
      <c r="C103" s="0" t="n">
        <v>67</v>
      </c>
      <c r="D103" s="12" t="n">
        <v>0.8</v>
      </c>
      <c r="E103" s="5" t="n">
        <v>850</v>
      </c>
      <c r="F103" s="5" t="n">
        <f aca="false">C103*D103*E103</f>
        <v>45560</v>
      </c>
      <c r="G103" s="5" t="n">
        <f aca="false">'Laundry Revenue'!G109</f>
        <v>1161</v>
      </c>
      <c r="H103" s="5" t="n">
        <f aca="false">F103+G103</f>
        <v>46721</v>
      </c>
      <c r="I103" s="5" t="n">
        <f aca="false">F103-G103</f>
        <v>44399</v>
      </c>
      <c r="J103" s="5" t="n">
        <f aca="false">H103-I103</f>
        <v>2322</v>
      </c>
      <c r="K103" s="5" t="n">
        <f aca="false">H103-I103</f>
        <v>2322</v>
      </c>
      <c r="L103" s="5" t="n">
        <f aca="false">J103-K103</f>
        <v>0</v>
      </c>
      <c r="M103" s="13" t="n">
        <f aca="false">IF(K103=0,0,J103/K103)</f>
        <v>1</v>
      </c>
    </row>
    <row r="104" customFormat="false" ht="15" hidden="false" customHeight="false" outlineLevel="0" collapsed="false">
      <c r="A104" s="0" t="n">
        <v>9</v>
      </c>
      <c r="B104" s="0" t="n">
        <v>5</v>
      </c>
      <c r="C104" s="0" t="n">
        <v>67</v>
      </c>
      <c r="D104" s="12" t="n">
        <v>0.8</v>
      </c>
      <c r="E104" s="5" t="n">
        <v>850</v>
      </c>
      <c r="F104" s="5" t="n">
        <f aca="false">C104*D104*E104</f>
        <v>45560</v>
      </c>
      <c r="G104" s="5" t="n">
        <f aca="false">'Laundry Revenue'!G110</f>
        <v>1161</v>
      </c>
      <c r="H104" s="5" t="n">
        <f aca="false">F104+G104</f>
        <v>46721</v>
      </c>
      <c r="I104" s="5" t="n">
        <f aca="false">F104-G104</f>
        <v>44399</v>
      </c>
      <c r="J104" s="5" t="n">
        <f aca="false">H104-I104</f>
        <v>2322</v>
      </c>
      <c r="K104" s="5" t="n">
        <f aca="false">H104-I104</f>
        <v>2322</v>
      </c>
      <c r="L104" s="5" t="n">
        <f aca="false">J104-K104</f>
        <v>0</v>
      </c>
      <c r="M104" s="13" t="n">
        <f aca="false">IF(K104=0,0,J104/K104)</f>
        <v>1</v>
      </c>
    </row>
    <row r="105" customFormat="false" ht="15" hidden="false" customHeight="false" outlineLevel="0" collapsed="false">
      <c r="A105" s="0" t="n">
        <v>9</v>
      </c>
      <c r="B105" s="0" t="n">
        <v>6</v>
      </c>
      <c r="C105" s="0" t="n">
        <v>67</v>
      </c>
      <c r="D105" s="12" t="n">
        <v>0.8</v>
      </c>
      <c r="E105" s="5" t="n">
        <v>850</v>
      </c>
      <c r="F105" s="5" t="n">
        <f aca="false">C105*D105*E105</f>
        <v>45560</v>
      </c>
      <c r="G105" s="5" t="n">
        <f aca="false">'Laundry Revenue'!G111</f>
        <v>1161</v>
      </c>
      <c r="H105" s="5" t="n">
        <f aca="false">F105+G105</f>
        <v>46721</v>
      </c>
      <c r="I105" s="5" t="n">
        <f aca="false">F105-G105</f>
        <v>44399</v>
      </c>
      <c r="J105" s="5" t="n">
        <f aca="false">H105-I105</f>
        <v>2322</v>
      </c>
      <c r="K105" s="5" t="n">
        <f aca="false">H105-I105</f>
        <v>2322</v>
      </c>
      <c r="L105" s="5" t="n">
        <f aca="false">J105-K105</f>
        <v>0</v>
      </c>
      <c r="M105" s="13" t="n">
        <f aca="false">IF(K105=0,0,J105/K105)</f>
        <v>1</v>
      </c>
    </row>
    <row r="106" customFormat="false" ht="15" hidden="false" customHeight="false" outlineLevel="0" collapsed="false">
      <c r="A106" s="0" t="n">
        <v>9</v>
      </c>
      <c r="B106" s="0" t="n">
        <v>7</v>
      </c>
      <c r="C106" s="0" t="n">
        <v>67</v>
      </c>
      <c r="D106" s="12" t="n">
        <v>0.8</v>
      </c>
      <c r="E106" s="5" t="n">
        <v>850</v>
      </c>
      <c r="F106" s="5" t="n">
        <f aca="false">C106*D106*E106</f>
        <v>45560</v>
      </c>
      <c r="G106" s="5" t="n">
        <f aca="false">'Laundry Revenue'!G112</f>
        <v>1161</v>
      </c>
      <c r="H106" s="5" t="n">
        <f aca="false">F106+G106</f>
        <v>46721</v>
      </c>
      <c r="I106" s="5" t="n">
        <f aca="false">F106-G106</f>
        <v>44399</v>
      </c>
      <c r="J106" s="5" t="n">
        <f aca="false">H106-I106</f>
        <v>2322</v>
      </c>
      <c r="K106" s="5" t="n">
        <f aca="false">H106-I106</f>
        <v>2322</v>
      </c>
      <c r="L106" s="5" t="n">
        <f aca="false">J106-K106</f>
        <v>0</v>
      </c>
      <c r="M106" s="13" t="n">
        <f aca="false">IF(K106=0,0,J106/K106)</f>
        <v>1</v>
      </c>
    </row>
    <row r="107" customFormat="false" ht="15" hidden="false" customHeight="false" outlineLevel="0" collapsed="false">
      <c r="A107" s="0" t="n">
        <v>9</v>
      </c>
      <c r="B107" s="0" t="n">
        <v>8</v>
      </c>
      <c r="C107" s="0" t="n">
        <v>67</v>
      </c>
      <c r="D107" s="12" t="n">
        <v>0.8</v>
      </c>
      <c r="E107" s="5" t="n">
        <v>850</v>
      </c>
      <c r="F107" s="5" t="n">
        <f aca="false">C107*D107*E107</f>
        <v>45560</v>
      </c>
      <c r="G107" s="5" t="n">
        <f aca="false">'Laundry Revenue'!G113</f>
        <v>1161</v>
      </c>
      <c r="H107" s="5" t="n">
        <f aca="false">F107+G107</f>
        <v>46721</v>
      </c>
      <c r="I107" s="5" t="n">
        <f aca="false">F107-G107</f>
        <v>44399</v>
      </c>
      <c r="J107" s="5" t="n">
        <f aca="false">H107-I107</f>
        <v>2322</v>
      </c>
      <c r="K107" s="5" t="n">
        <f aca="false">H107-I107</f>
        <v>2322</v>
      </c>
      <c r="L107" s="5" t="n">
        <f aca="false">J107-K107</f>
        <v>0</v>
      </c>
      <c r="M107" s="13" t="n">
        <f aca="false">IF(K107=0,0,J107/K107)</f>
        <v>1</v>
      </c>
    </row>
    <row r="108" customFormat="false" ht="15" hidden="false" customHeight="false" outlineLevel="0" collapsed="false">
      <c r="A108" s="0" t="n">
        <v>9</v>
      </c>
      <c r="B108" s="0" t="n">
        <v>9</v>
      </c>
      <c r="C108" s="0" t="n">
        <v>67</v>
      </c>
      <c r="D108" s="12" t="n">
        <v>0.8</v>
      </c>
      <c r="E108" s="5" t="n">
        <v>850</v>
      </c>
      <c r="F108" s="5" t="n">
        <f aca="false">C108*D108*E108</f>
        <v>45560</v>
      </c>
      <c r="G108" s="5" t="n">
        <f aca="false">'Laundry Revenue'!G114</f>
        <v>1161</v>
      </c>
      <c r="H108" s="5" t="n">
        <f aca="false">F108+G108</f>
        <v>46721</v>
      </c>
      <c r="I108" s="5" t="n">
        <f aca="false">F108-G108</f>
        <v>44399</v>
      </c>
      <c r="J108" s="5" t="n">
        <f aca="false">H108-I108</f>
        <v>2322</v>
      </c>
      <c r="K108" s="5" t="n">
        <f aca="false">H108-I108</f>
        <v>2322</v>
      </c>
      <c r="L108" s="5" t="n">
        <f aca="false">J108-K108</f>
        <v>0</v>
      </c>
      <c r="M108" s="13" t="n">
        <f aca="false">IF(K108=0,0,J108/K108)</f>
        <v>1</v>
      </c>
    </row>
    <row r="109" customFormat="false" ht="15" hidden="false" customHeight="false" outlineLevel="0" collapsed="false">
      <c r="A109" s="0" t="n">
        <v>9</v>
      </c>
      <c r="B109" s="0" t="n">
        <v>10</v>
      </c>
      <c r="C109" s="0" t="n">
        <v>67</v>
      </c>
      <c r="D109" s="12" t="n">
        <v>0.8</v>
      </c>
      <c r="E109" s="5" t="n">
        <v>850</v>
      </c>
      <c r="F109" s="5" t="n">
        <f aca="false">C109*D109*E109</f>
        <v>45560</v>
      </c>
      <c r="G109" s="5" t="n">
        <f aca="false">'Laundry Revenue'!G115</f>
        <v>1161</v>
      </c>
      <c r="H109" s="5" t="n">
        <f aca="false">F109+G109</f>
        <v>46721</v>
      </c>
      <c r="I109" s="5" t="n">
        <f aca="false">F109-G109</f>
        <v>44399</v>
      </c>
      <c r="J109" s="5" t="n">
        <f aca="false">H109-I109</f>
        <v>2322</v>
      </c>
      <c r="K109" s="5" t="n">
        <f aca="false">H109-I109</f>
        <v>2322</v>
      </c>
      <c r="L109" s="5" t="n">
        <f aca="false">J109-K109</f>
        <v>0</v>
      </c>
      <c r="M109" s="13" t="n">
        <f aca="false">IF(K109=0,0,J109/K109)</f>
        <v>1</v>
      </c>
    </row>
    <row r="110" customFormat="false" ht="15" hidden="false" customHeight="false" outlineLevel="0" collapsed="false">
      <c r="A110" s="0" t="n">
        <v>9</v>
      </c>
      <c r="B110" s="0" t="n">
        <v>11</v>
      </c>
      <c r="C110" s="0" t="n">
        <v>67</v>
      </c>
      <c r="D110" s="12" t="n">
        <v>0.8</v>
      </c>
      <c r="E110" s="5" t="n">
        <v>850</v>
      </c>
      <c r="F110" s="5" t="n">
        <f aca="false">C110*D110*E110</f>
        <v>45560</v>
      </c>
      <c r="G110" s="5" t="n">
        <f aca="false">'Laundry Revenue'!G116</f>
        <v>1161</v>
      </c>
      <c r="H110" s="5" t="n">
        <f aca="false">F110+G110</f>
        <v>46721</v>
      </c>
      <c r="I110" s="5" t="n">
        <f aca="false">F110-G110</f>
        <v>44399</v>
      </c>
      <c r="J110" s="5" t="n">
        <f aca="false">H110-I110</f>
        <v>2322</v>
      </c>
      <c r="K110" s="5" t="n">
        <f aca="false">H110-I110</f>
        <v>2322</v>
      </c>
      <c r="L110" s="5" t="n">
        <f aca="false">J110-K110</f>
        <v>0</v>
      </c>
      <c r="M110" s="13" t="n">
        <f aca="false">IF(K110=0,0,J110/K110)</f>
        <v>1</v>
      </c>
    </row>
    <row r="111" customFormat="false" ht="15" hidden="false" customHeight="false" outlineLevel="0" collapsed="false">
      <c r="A111" s="0" t="n">
        <v>9</v>
      </c>
      <c r="B111" s="0" t="n">
        <v>12</v>
      </c>
      <c r="C111" s="0" t="n">
        <v>67</v>
      </c>
      <c r="D111" s="12" t="n">
        <v>0.8</v>
      </c>
      <c r="E111" s="5" t="n">
        <v>850</v>
      </c>
      <c r="F111" s="5" t="n">
        <f aca="false">C111*D111*E111</f>
        <v>45560</v>
      </c>
      <c r="G111" s="5" t="n">
        <f aca="false">'Laundry Revenue'!G117</f>
        <v>1161</v>
      </c>
      <c r="H111" s="5" t="n">
        <f aca="false">F111+G111</f>
        <v>46721</v>
      </c>
      <c r="I111" s="5" t="n">
        <f aca="false">F111-G111</f>
        <v>44399</v>
      </c>
      <c r="J111" s="5" t="n">
        <f aca="false">H111-I111</f>
        <v>2322</v>
      </c>
      <c r="K111" s="5" t="n">
        <f aca="false">H111-I111</f>
        <v>2322</v>
      </c>
      <c r="L111" s="5" t="n">
        <f aca="false">J111-K111</f>
        <v>0</v>
      </c>
      <c r="M111" s="13" t="n">
        <f aca="false">IF(K111=0,0,J111/K111)</f>
        <v>1</v>
      </c>
    </row>
    <row r="112" customFormat="false" ht="15" hidden="false" customHeight="false" outlineLevel="0" collapsed="false">
      <c r="A112" s="0" t="n">
        <v>10</v>
      </c>
      <c r="B112" s="0" t="n">
        <v>1</v>
      </c>
      <c r="C112" s="0" t="n">
        <v>67</v>
      </c>
      <c r="D112" s="12" t="n">
        <v>0.8</v>
      </c>
      <c r="E112" s="5" t="n">
        <v>850</v>
      </c>
      <c r="F112" s="5" t="n">
        <f aca="false">C112*D112*E112</f>
        <v>45560</v>
      </c>
      <c r="G112" s="5" t="n">
        <f aca="false">'Laundry Revenue'!G118</f>
        <v>1161</v>
      </c>
      <c r="H112" s="5" t="n">
        <f aca="false">F112+G112</f>
        <v>46721</v>
      </c>
      <c r="I112" s="5" t="n">
        <f aca="false">F112-G112</f>
        <v>44399</v>
      </c>
      <c r="J112" s="5" t="n">
        <f aca="false">H112-I112</f>
        <v>2322</v>
      </c>
      <c r="K112" s="5" t="n">
        <f aca="false">H112-I112</f>
        <v>2322</v>
      </c>
      <c r="L112" s="5" t="n">
        <f aca="false">J112-K112</f>
        <v>0</v>
      </c>
      <c r="M112" s="13" t="n">
        <f aca="false">IF(K112=0,0,J112/K112)</f>
        <v>1</v>
      </c>
    </row>
    <row r="113" customFormat="false" ht="15" hidden="false" customHeight="false" outlineLevel="0" collapsed="false">
      <c r="A113" s="0" t="n">
        <v>10</v>
      </c>
      <c r="B113" s="0" t="n">
        <v>2</v>
      </c>
      <c r="C113" s="0" t="n">
        <v>67</v>
      </c>
      <c r="D113" s="12" t="n">
        <v>0.8</v>
      </c>
      <c r="E113" s="5" t="n">
        <v>850</v>
      </c>
      <c r="F113" s="5" t="n">
        <f aca="false">C113*D113*E113</f>
        <v>45560</v>
      </c>
      <c r="G113" s="5" t="n">
        <f aca="false">'Laundry Revenue'!G119</f>
        <v>1161</v>
      </c>
      <c r="H113" s="5" t="n">
        <f aca="false">F113+G113</f>
        <v>46721</v>
      </c>
      <c r="I113" s="5" t="n">
        <f aca="false">F113-G113</f>
        <v>44399</v>
      </c>
      <c r="J113" s="5" t="n">
        <f aca="false">H113-I113</f>
        <v>2322</v>
      </c>
      <c r="K113" s="5" t="n">
        <f aca="false">H113-I113</f>
        <v>2322</v>
      </c>
      <c r="L113" s="5" t="n">
        <f aca="false">J113-K113</f>
        <v>0</v>
      </c>
      <c r="M113" s="13" t="n">
        <f aca="false">IF(K113=0,0,J113/K113)</f>
        <v>1</v>
      </c>
    </row>
    <row r="114" customFormat="false" ht="15" hidden="false" customHeight="false" outlineLevel="0" collapsed="false">
      <c r="A114" s="0" t="n">
        <v>10</v>
      </c>
      <c r="B114" s="0" t="n">
        <v>3</v>
      </c>
      <c r="C114" s="0" t="n">
        <v>67</v>
      </c>
      <c r="D114" s="12" t="n">
        <v>0.8</v>
      </c>
      <c r="E114" s="5" t="n">
        <v>850</v>
      </c>
      <c r="F114" s="5" t="n">
        <f aca="false">C114*D114*E114</f>
        <v>45560</v>
      </c>
      <c r="G114" s="5" t="n">
        <f aca="false">'Laundry Revenue'!G120</f>
        <v>1161</v>
      </c>
      <c r="H114" s="5" t="n">
        <f aca="false">F114+G114</f>
        <v>46721</v>
      </c>
      <c r="I114" s="5" t="n">
        <f aca="false">F114-G114</f>
        <v>44399</v>
      </c>
      <c r="J114" s="5" t="n">
        <f aca="false">H114-I114</f>
        <v>2322</v>
      </c>
      <c r="K114" s="5" t="n">
        <f aca="false">H114-I114</f>
        <v>2322</v>
      </c>
      <c r="L114" s="5" t="n">
        <f aca="false">J114-K114</f>
        <v>0</v>
      </c>
      <c r="M114" s="13" t="n">
        <f aca="false">IF(K114=0,0,J114/K114)</f>
        <v>1</v>
      </c>
    </row>
    <row r="115" customFormat="false" ht="15" hidden="false" customHeight="false" outlineLevel="0" collapsed="false">
      <c r="A115" s="0" t="n">
        <v>10</v>
      </c>
      <c r="B115" s="0" t="n">
        <v>4</v>
      </c>
      <c r="C115" s="0" t="n">
        <v>67</v>
      </c>
      <c r="D115" s="12" t="n">
        <v>0.8</v>
      </c>
      <c r="E115" s="5" t="n">
        <v>850</v>
      </c>
      <c r="F115" s="5" t="n">
        <f aca="false">C115*D115*E115</f>
        <v>45560</v>
      </c>
      <c r="G115" s="5" t="n">
        <f aca="false">'Laundry Revenue'!G121</f>
        <v>1161</v>
      </c>
      <c r="H115" s="5" t="n">
        <f aca="false">F115+G115</f>
        <v>46721</v>
      </c>
      <c r="I115" s="5" t="n">
        <f aca="false">F115-G115</f>
        <v>44399</v>
      </c>
      <c r="J115" s="5" t="n">
        <f aca="false">H115-I115</f>
        <v>2322</v>
      </c>
      <c r="K115" s="5" t="n">
        <f aca="false">H115-I115</f>
        <v>2322</v>
      </c>
      <c r="L115" s="5" t="n">
        <f aca="false">J115-K115</f>
        <v>0</v>
      </c>
      <c r="M115" s="13" t="n">
        <f aca="false">IF(K115=0,0,J115/K115)</f>
        <v>1</v>
      </c>
    </row>
    <row r="116" customFormat="false" ht="15" hidden="false" customHeight="false" outlineLevel="0" collapsed="false">
      <c r="A116" s="0" t="n">
        <v>10</v>
      </c>
      <c r="B116" s="0" t="n">
        <v>5</v>
      </c>
      <c r="C116" s="0" t="n">
        <v>67</v>
      </c>
      <c r="D116" s="12" t="n">
        <v>0.8</v>
      </c>
      <c r="E116" s="5" t="n">
        <v>850</v>
      </c>
      <c r="F116" s="5" t="n">
        <f aca="false">C116*D116*E116</f>
        <v>45560</v>
      </c>
      <c r="G116" s="5" t="n">
        <f aca="false">'Laundry Revenue'!G122</f>
        <v>1161</v>
      </c>
      <c r="H116" s="5" t="n">
        <f aca="false">F116+G116</f>
        <v>46721</v>
      </c>
      <c r="I116" s="5" t="n">
        <f aca="false">F116-G116</f>
        <v>44399</v>
      </c>
      <c r="J116" s="5" t="n">
        <f aca="false">H116-I116</f>
        <v>2322</v>
      </c>
      <c r="K116" s="5" t="n">
        <f aca="false">H116-I116</f>
        <v>2322</v>
      </c>
      <c r="L116" s="5" t="n">
        <f aca="false">J116-K116</f>
        <v>0</v>
      </c>
      <c r="M116" s="13" t="n">
        <f aca="false">IF(K116=0,0,J116/K116)</f>
        <v>1</v>
      </c>
    </row>
    <row r="117" customFormat="false" ht="15" hidden="false" customHeight="false" outlineLevel="0" collapsed="false">
      <c r="A117" s="0" t="n">
        <v>10</v>
      </c>
      <c r="B117" s="0" t="n">
        <v>6</v>
      </c>
      <c r="C117" s="0" t="n">
        <v>67</v>
      </c>
      <c r="D117" s="12" t="n">
        <v>0.8</v>
      </c>
      <c r="E117" s="5" t="n">
        <v>850</v>
      </c>
      <c r="F117" s="5" t="n">
        <f aca="false">C117*D117*E117</f>
        <v>45560</v>
      </c>
      <c r="G117" s="5" t="n">
        <f aca="false">'Laundry Revenue'!G123</f>
        <v>1161</v>
      </c>
      <c r="H117" s="5" t="n">
        <f aca="false">F117+G117</f>
        <v>46721</v>
      </c>
      <c r="I117" s="5" t="n">
        <f aca="false">F117-G117</f>
        <v>44399</v>
      </c>
      <c r="J117" s="5" t="n">
        <f aca="false">H117-I117</f>
        <v>2322</v>
      </c>
      <c r="K117" s="5" t="n">
        <f aca="false">H117-I117</f>
        <v>2322</v>
      </c>
      <c r="L117" s="5" t="n">
        <f aca="false">J117-K117</f>
        <v>0</v>
      </c>
      <c r="M117" s="13" t="n">
        <f aca="false">IF(K117=0,0,J117/K117)</f>
        <v>1</v>
      </c>
    </row>
    <row r="118" customFormat="false" ht="15" hidden="false" customHeight="false" outlineLevel="0" collapsed="false">
      <c r="A118" s="0" t="n">
        <v>10</v>
      </c>
      <c r="B118" s="0" t="n">
        <v>7</v>
      </c>
      <c r="C118" s="0" t="n">
        <v>67</v>
      </c>
      <c r="D118" s="12" t="n">
        <v>0.8</v>
      </c>
      <c r="E118" s="5" t="n">
        <v>850</v>
      </c>
      <c r="F118" s="5" t="n">
        <f aca="false">C118*D118*E118</f>
        <v>45560</v>
      </c>
      <c r="G118" s="5" t="n">
        <f aca="false">'Laundry Revenue'!G124</f>
        <v>1161</v>
      </c>
      <c r="H118" s="5" t="n">
        <f aca="false">F118+G118</f>
        <v>46721</v>
      </c>
      <c r="I118" s="5" t="n">
        <f aca="false">F118-G118</f>
        <v>44399</v>
      </c>
      <c r="J118" s="5" t="n">
        <f aca="false">H118-I118</f>
        <v>2322</v>
      </c>
      <c r="K118" s="5" t="n">
        <f aca="false">H118-I118</f>
        <v>2322</v>
      </c>
      <c r="L118" s="5" t="n">
        <f aca="false">J118-K118</f>
        <v>0</v>
      </c>
      <c r="M118" s="13" t="n">
        <f aca="false">IF(K118=0,0,J118/K118)</f>
        <v>1</v>
      </c>
    </row>
    <row r="119" customFormat="false" ht="15" hidden="false" customHeight="false" outlineLevel="0" collapsed="false">
      <c r="A119" s="0" t="n">
        <v>10</v>
      </c>
      <c r="B119" s="0" t="n">
        <v>8</v>
      </c>
      <c r="C119" s="0" t="n">
        <v>67</v>
      </c>
      <c r="D119" s="12" t="n">
        <v>0.8</v>
      </c>
      <c r="E119" s="5" t="n">
        <v>850</v>
      </c>
      <c r="F119" s="5" t="n">
        <f aca="false">C119*D119*E119</f>
        <v>45560</v>
      </c>
      <c r="G119" s="5" t="n">
        <f aca="false">'Laundry Revenue'!G125</f>
        <v>1161</v>
      </c>
      <c r="H119" s="5" t="n">
        <f aca="false">F119+G119</f>
        <v>46721</v>
      </c>
      <c r="I119" s="5" t="n">
        <f aca="false">F119-G119</f>
        <v>44399</v>
      </c>
      <c r="J119" s="5" t="n">
        <f aca="false">H119-I119</f>
        <v>2322</v>
      </c>
      <c r="K119" s="5" t="n">
        <f aca="false">H119-I119</f>
        <v>2322</v>
      </c>
      <c r="L119" s="5" t="n">
        <f aca="false">J119-K119</f>
        <v>0</v>
      </c>
      <c r="M119" s="13" t="n">
        <f aca="false">IF(K119=0,0,J119/K119)</f>
        <v>1</v>
      </c>
    </row>
    <row r="120" customFormat="false" ht="15" hidden="false" customHeight="false" outlineLevel="0" collapsed="false">
      <c r="A120" s="0" t="n">
        <v>10</v>
      </c>
      <c r="B120" s="0" t="n">
        <v>9</v>
      </c>
      <c r="C120" s="0" t="n">
        <v>67</v>
      </c>
      <c r="D120" s="12" t="n">
        <v>0.8</v>
      </c>
      <c r="E120" s="5" t="n">
        <v>850</v>
      </c>
      <c r="F120" s="5" t="n">
        <f aca="false">C120*D120*E120</f>
        <v>45560</v>
      </c>
      <c r="G120" s="5" t="n">
        <f aca="false">'Laundry Revenue'!G126</f>
        <v>1161</v>
      </c>
      <c r="H120" s="5" t="n">
        <f aca="false">F120+G120</f>
        <v>46721</v>
      </c>
      <c r="I120" s="5" t="n">
        <f aca="false">F120-G120</f>
        <v>44399</v>
      </c>
      <c r="J120" s="5" t="n">
        <f aca="false">H120-I120</f>
        <v>2322</v>
      </c>
      <c r="K120" s="5" t="n">
        <f aca="false">H120-I120</f>
        <v>2322</v>
      </c>
      <c r="L120" s="5" t="n">
        <f aca="false">J120-K120</f>
        <v>0</v>
      </c>
      <c r="M120" s="13" t="n">
        <f aca="false">IF(K120=0,0,J120/K120)</f>
        <v>1</v>
      </c>
    </row>
    <row r="121" customFormat="false" ht="15" hidden="false" customHeight="false" outlineLevel="0" collapsed="false">
      <c r="A121" s="0" t="n">
        <v>10</v>
      </c>
      <c r="B121" s="0" t="n">
        <v>10</v>
      </c>
      <c r="C121" s="0" t="n">
        <v>67</v>
      </c>
      <c r="D121" s="12" t="n">
        <v>0.8</v>
      </c>
      <c r="E121" s="5" t="n">
        <v>850</v>
      </c>
      <c r="F121" s="5" t="n">
        <f aca="false">C121*D121*E121</f>
        <v>45560</v>
      </c>
      <c r="G121" s="5" t="n">
        <f aca="false">'Laundry Revenue'!G127</f>
        <v>1161</v>
      </c>
      <c r="H121" s="5" t="n">
        <f aca="false">F121+G121</f>
        <v>46721</v>
      </c>
      <c r="I121" s="5" t="n">
        <f aca="false">F121-G121</f>
        <v>44399</v>
      </c>
      <c r="J121" s="5" t="n">
        <f aca="false">H121-I121</f>
        <v>2322</v>
      </c>
      <c r="K121" s="5" t="n">
        <f aca="false">H121-I121</f>
        <v>2322</v>
      </c>
      <c r="L121" s="5" t="n">
        <f aca="false">J121-K121</f>
        <v>0</v>
      </c>
      <c r="M121" s="13" t="n">
        <f aca="false">IF(K121=0,0,J121/K121)</f>
        <v>1</v>
      </c>
    </row>
    <row r="122" customFormat="false" ht="15" hidden="false" customHeight="false" outlineLevel="0" collapsed="false">
      <c r="A122" s="0" t="n">
        <v>10</v>
      </c>
      <c r="B122" s="0" t="n">
        <v>11</v>
      </c>
      <c r="C122" s="0" t="n">
        <v>67</v>
      </c>
      <c r="D122" s="12" t="n">
        <v>0.8</v>
      </c>
      <c r="E122" s="5" t="n">
        <v>850</v>
      </c>
      <c r="F122" s="5" t="n">
        <f aca="false">C122*D122*E122</f>
        <v>45560</v>
      </c>
      <c r="G122" s="5" t="n">
        <f aca="false">'Laundry Revenue'!G128</f>
        <v>1161</v>
      </c>
      <c r="H122" s="5" t="n">
        <f aca="false">F122+G122</f>
        <v>46721</v>
      </c>
      <c r="I122" s="5" t="n">
        <f aca="false">F122-G122</f>
        <v>44399</v>
      </c>
      <c r="J122" s="5" t="n">
        <f aca="false">H122-I122</f>
        <v>2322</v>
      </c>
      <c r="K122" s="5" t="n">
        <f aca="false">H122-I122</f>
        <v>2322</v>
      </c>
      <c r="L122" s="5" t="n">
        <f aca="false">J122-K122</f>
        <v>0</v>
      </c>
      <c r="M122" s="13" t="n">
        <f aca="false">IF(K122=0,0,J122/K122)</f>
        <v>1</v>
      </c>
    </row>
    <row r="123" customFormat="false" ht="15" hidden="false" customHeight="false" outlineLevel="0" collapsed="false">
      <c r="A123" s="0" t="n">
        <v>10</v>
      </c>
      <c r="B123" s="0" t="n">
        <v>12</v>
      </c>
      <c r="C123" s="0" t="n">
        <v>67</v>
      </c>
      <c r="D123" s="12" t="n">
        <v>0.8</v>
      </c>
      <c r="E123" s="5" t="n">
        <v>850</v>
      </c>
      <c r="F123" s="5" t="n">
        <f aca="false">C123*D123*E123</f>
        <v>45560</v>
      </c>
      <c r="G123" s="5" t="n">
        <f aca="false">'Laundry Revenue'!G129</f>
        <v>1161</v>
      </c>
      <c r="H123" s="5" t="n">
        <f aca="false">F123+G123</f>
        <v>46721</v>
      </c>
      <c r="I123" s="5" t="n">
        <f aca="false">F123-G123</f>
        <v>44399</v>
      </c>
      <c r="J123" s="5" t="n">
        <f aca="false">H123-I123</f>
        <v>2322</v>
      </c>
      <c r="K123" s="5" t="n">
        <f aca="false">H123-I123</f>
        <v>2322</v>
      </c>
      <c r="L123" s="5" t="n">
        <f aca="false">J123-K123</f>
        <v>0</v>
      </c>
      <c r="M123" s="13" t="n">
        <f aca="false">IF(K123=0,0,J123/K123)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.3"/>
    <col collapsed="false" customWidth="true" hidden="false" outlineLevel="0" max="2" min="2" style="0" width="14.34"/>
    <col collapsed="false" customWidth="true" hidden="false" outlineLevel="0" max="3" min="3" style="0" width="19.6"/>
    <col collapsed="false" customWidth="true" hidden="false" outlineLevel="0" max="4" min="4" style="0" width="16.67"/>
    <col collapsed="false" customWidth="true" hidden="false" outlineLevel="0" max="5" min="5" style="0" width="18.38"/>
    <col collapsed="false" customWidth="true" hidden="false" outlineLevel="0" max="6" min="6" style="0" width="10.66"/>
    <col collapsed="false" customWidth="true" hidden="false" outlineLevel="0" max="7" min="7" style="0" width="13.72"/>
    <col collapsed="false" customWidth="true" hidden="false" outlineLevel="0" max="8" min="8" style="0" width="19.73"/>
  </cols>
  <sheetData>
    <row r="1" customFormat="false" ht="17.35" hidden="false" customHeight="false" outlineLevel="0" collapsed="false">
      <c r="A1" s="9" t="s">
        <v>206</v>
      </c>
    </row>
    <row r="3" customFormat="false" ht="15" hidden="false" customHeight="false" outlineLevel="0" collapsed="false">
      <c r="A3" s="4" t="s">
        <v>194</v>
      </c>
      <c r="B3" s="4" t="s">
        <v>207</v>
      </c>
      <c r="C3" s="4" t="s">
        <v>208</v>
      </c>
      <c r="D3" s="4" t="s">
        <v>202</v>
      </c>
      <c r="E3" s="4" t="s">
        <v>209</v>
      </c>
      <c r="F3" s="4" t="s">
        <v>210</v>
      </c>
      <c r="G3" s="4" t="s">
        <v>205</v>
      </c>
      <c r="H3" s="4" t="s">
        <v>211</v>
      </c>
    </row>
    <row r="4" customFormat="false" ht="15" hidden="false" customHeight="false" outlineLevel="0" collapsed="false">
      <c r="A4" s="0" t="n">
        <v>1</v>
      </c>
      <c r="B4" s="5" t="n">
        <f aca="false">SUM('10-Year Monthly Projections'!H4:H15)</f>
        <v>376887.3525</v>
      </c>
      <c r="C4" s="5" t="n">
        <f aca="false">SUM('10-Year Monthly Projections'!G4:G15)</f>
        <v>9810.45</v>
      </c>
      <c r="D4" s="5" t="n">
        <f aca="false">B4-C4</f>
        <v>367076.9025</v>
      </c>
      <c r="E4" s="5" t="n">
        <f aca="false">SUM('10-Year Monthly Projections'!I4:I15)</f>
        <v>357266.4525</v>
      </c>
      <c r="F4" s="5" t="n">
        <f aca="false">D4-E4</f>
        <v>9810.4499999999</v>
      </c>
      <c r="G4" s="13" t="n">
        <f aca="false">IF(E4=0,0,D4/E4)</f>
        <v>1.02745975708424</v>
      </c>
      <c r="H4" s="5" t="n">
        <f aca="false">F4</f>
        <v>9810.4499999999</v>
      </c>
    </row>
    <row r="5" customFormat="false" ht="15" hidden="false" customHeight="false" outlineLevel="0" collapsed="false">
      <c r="A5" s="0" t="n">
        <v>2</v>
      </c>
      <c r="B5" s="5" t="n">
        <f aca="false">SUM('10-Year Monthly Projections'!H16:H27)</f>
        <v>550676.0685</v>
      </c>
      <c r="C5" s="5" t="n">
        <f aca="false">SUM('10-Year Monthly Projections'!G16:G27)</f>
        <v>13932</v>
      </c>
      <c r="D5" s="5" t="n">
        <f aca="false">B5-C5</f>
        <v>536744.0685</v>
      </c>
      <c r="E5" s="5" t="n">
        <f aca="false">SUM('10-Year Monthly Projections'!I16:I27)</f>
        <v>522812.0685</v>
      </c>
      <c r="F5" s="5" t="n">
        <f aca="false">D5-E5</f>
        <v>13932.0000000001</v>
      </c>
      <c r="G5" s="13" t="n">
        <f aca="false">IF(E5=0,0,D5/E5)</f>
        <v>1.0266481989216</v>
      </c>
      <c r="H5" s="5" t="n">
        <f aca="false">H4+F5</f>
        <v>23742.45</v>
      </c>
    </row>
    <row r="6" customFormat="false" ht="15" hidden="false" customHeight="false" outlineLevel="0" collapsed="false">
      <c r="A6" s="0" t="n">
        <v>3</v>
      </c>
      <c r="B6" s="5" t="n">
        <f aca="false">SUM('10-Year Monthly Projections'!H28:H39)</f>
        <v>560652</v>
      </c>
      <c r="C6" s="5" t="n">
        <f aca="false">SUM('10-Year Monthly Projections'!G28:G39)</f>
        <v>13932</v>
      </c>
      <c r="D6" s="5" t="n">
        <f aca="false">B6-C6</f>
        <v>546720</v>
      </c>
      <c r="E6" s="5" t="n">
        <f aca="false">SUM('10-Year Monthly Projections'!I28:I39)</f>
        <v>532788</v>
      </c>
      <c r="F6" s="5" t="n">
        <f aca="false">D6-E6</f>
        <v>13932</v>
      </c>
      <c r="G6" s="13" t="n">
        <f aca="false">IF(E6=0,0,D6/E6)</f>
        <v>1.02614923759544</v>
      </c>
      <c r="H6" s="5" t="n">
        <f aca="false">H5+F6</f>
        <v>37674.45</v>
      </c>
    </row>
    <row r="7" customFormat="false" ht="15" hidden="false" customHeight="false" outlineLevel="0" collapsed="false">
      <c r="A7" s="0" t="n">
        <v>4</v>
      </c>
      <c r="B7" s="5" t="n">
        <f aca="false">SUM('10-Year Monthly Projections'!H40:H51)</f>
        <v>560652</v>
      </c>
      <c r="C7" s="5" t="n">
        <f aca="false">SUM('10-Year Monthly Projections'!G40:G51)</f>
        <v>13932</v>
      </c>
      <c r="D7" s="5" t="n">
        <f aca="false">B7-C7</f>
        <v>546720</v>
      </c>
      <c r="E7" s="5" t="n">
        <f aca="false">SUM('10-Year Monthly Projections'!I40:I51)</f>
        <v>532788</v>
      </c>
      <c r="F7" s="5" t="n">
        <f aca="false">D7-E7</f>
        <v>13932</v>
      </c>
      <c r="G7" s="13" t="n">
        <f aca="false">IF(E7=0,0,D7/E7)</f>
        <v>1.02614923759544</v>
      </c>
      <c r="H7" s="5" t="n">
        <f aca="false">H6+F7</f>
        <v>51606.45</v>
      </c>
    </row>
    <row r="8" customFormat="false" ht="15" hidden="false" customHeight="false" outlineLevel="0" collapsed="false">
      <c r="A8" s="0" t="n">
        <v>5</v>
      </c>
      <c r="B8" s="5" t="n">
        <f aca="false">SUM('10-Year Monthly Projections'!H52:H63)</f>
        <v>560652</v>
      </c>
      <c r="C8" s="5" t="n">
        <f aca="false">SUM('10-Year Monthly Projections'!G52:G63)</f>
        <v>13932</v>
      </c>
      <c r="D8" s="5" t="n">
        <f aca="false">B8-C8</f>
        <v>546720</v>
      </c>
      <c r="E8" s="5" t="n">
        <f aca="false">SUM('10-Year Monthly Projections'!I52:I63)</f>
        <v>532788</v>
      </c>
      <c r="F8" s="5" t="n">
        <f aca="false">D8-E8</f>
        <v>13932</v>
      </c>
      <c r="G8" s="13" t="n">
        <f aca="false">IF(E8=0,0,D8/E8)</f>
        <v>1.02614923759544</v>
      </c>
      <c r="H8" s="5" t="n">
        <f aca="false">H7+F8</f>
        <v>65538.45</v>
      </c>
    </row>
    <row r="9" customFormat="false" ht="15" hidden="false" customHeight="false" outlineLevel="0" collapsed="false">
      <c r="A9" s="0" t="n">
        <v>6</v>
      </c>
      <c r="B9" s="5" t="n">
        <f aca="false">SUM('10-Year Monthly Projections'!H64:H75)</f>
        <v>560652</v>
      </c>
      <c r="C9" s="5" t="n">
        <f aca="false">SUM('10-Year Monthly Projections'!G64:G75)</f>
        <v>13932</v>
      </c>
      <c r="D9" s="5" t="n">
        <f aca="false">B9-C9</f>
        <v>546720</v>
      </c>
      <c r="E9" s="5" t="n">
        <f aca="false">SUM('10-Year Monthly Projections'!I64:I75)</f>
        <v>532788</v>
      </c>
      <c r="F9" s="5" t="n">
        <f aca="false">D9-E9</f>
        <v>13932</v>
      </c>
      <c r="G9" s="13" t="n">
        <f aca="false">IF(E9=0,0,D9/E9)</f>
        <v>1.02614923759544</v>
      </c>
      <c r="H9" s="5" t="n">
        <f aca="false">H8+F9</f>
        <v>79470.45</v>
      </c>
    </row>
    <row r="10" customFormat="false" ht="15" hidden="false" customHeight="false" outlineLevel="0" collapsed="false">
      <c r="A10" s="0" t="n">
        <v>7</v>
      </c>
      <c r="B10" s="5" t="n">
        <f aca="false">SUM('10-Year Monthly Projections'!H76:H87)</f>
        <v>560652</v>
      </c>
      <c r="C10" s="5" t="n">
        <f aca="false">SUM('10-Year Monthly Projections'!G76:G87)</f>
        <v>13932</v>
      </c>
      <c r="D10" s="5" t="n">
        <f aca="false">B10-C10</f>
        <v>546720</v>
      </c>
      <c r="E10" s="5" t="n">
        <f aca="false">SUM('10-Year Monthly Projections'!I76:I87)</f>
        <v>532788</v>
      </c>
      <c r="F10" s="5" t="n">
        <f aca="false">D10-E10</f>
        <v>13932</v>
      </c>
      <c r="G10" s="13" t="n">
        <f aca="false">IF(E10=0,0,D10/E10)</f>
        <v>1.02614923759544</v>
      </c>
      <c r="H10" s="5" t="n">
        <f aca="false">H9+F10</f>
        <v>93402.45</v>
      </c>
    </row>
    <row r="11" customFormat="false" ht="15" hidden="false" customHeight="false" outlineLevel="0" collapsed="false">
      <c r="A11" s="0" t="n">
        <v>8</v>
      </c>
      <c r="B11" s="5" t="n">
        <f aca="false">SUM('10-Year Monthly Projections'!H88:H99)</f>
        <v>560652</v>
      </c>
      <c r="C11" s="5" t="n">
        <f aca="false">SUM('10-Year Monthly Projections'!G88:G99)</f>
        <v>13932</v>
      </c>
      <c r="D11" s="5" t="n">
        <f aca="false">B11-C11</f>
        <v>546720</v>
      </c>
      <c r="E11" s="5" t="n">
        <f aca="false">SUM('10-Year Monthly Projections'!I88:I99)</f>
        <v>532788</v>
      </c>
      <c r="F11" s="5" t="n">
        <f aca="false">D11-E11</f>
        <v>13932</v>
      </c>
      <c r="G11" s="13" t="n">
        <f aca="false">IF(E11=0,0,D11/E11)</f>
        <v>1.02614923759544</v>
      </c>
      <c r="H11" s="5" t="n">
        <f aca="false">H10+F11</f>
        <v>107334.45</v>
      </c>
    </row>
    <row r="12" customFormat="false" ht="15" hidden="false" customHeight="false" outlineLevel="0" collapsed="false">
      <c r="A12" s="0" t="n">
        <v>9</v>
      </c>
      <c r="B12" s="5" t="n">
        <f aca="false">SUM('10-Year Monthly Projections'!H100:H111)</f>
        <v>560652</v>
      </c>
      <c r="C12" s="5" t="n">
        <f aca="false">SUM('10-Year Monthly Projections'!G100:G111)</f>
        <v>13932</v>
      </c>
      <c r="D12" s="5" t="n">
        <f aca="false">B12-C12</f>
        <v>546720</v>
      </c>
      <c r="E12" s="5" t="n">
        <f aca="false">SUM('10-Year Monthly Projections'!I100:I111)</f>
        <v>532788</v>
      </c>
      <c r="F12" s="5" t="n">
        <f aca="false">D12-E12</f>
        <v>13932</v>
      </c>
      <c r="G12" s="13" t="n">
        <f aca="false">IF(E12=0,0,D12/E12)</f>
        <v>1.02614923759544</v>
      </c>
      <c r="H12" s="5" t="n">
        <f aca="false">H11+F12</f>
        <v>121266.45</v>
      </c>
    </row>
    <row r="13" customFormat="false" ht="15" hidden="false" customHeight="false" outlineLevel="0" collapsed="false">
      <c r="A13" s="0" t="n">
        <v>10</v>
      </c>
      <c r="B13" s="5" t="n">
        <f aca="false">SUM('10-Year Monthly Projections'!H112:H123)</f>
        <v>560652</v>
      </c>
      <c r="C13" s="5" t="n">
        <f aca="false">SUM('10-Year Monthly Projections'!G112:G123)</f>
        <v>13932</v>
      </c>
      <c r="D13" s="5" t="n">
        <f aca="false">B13-C13</f>
        <v>546720</v>
      </c>
      <c r="E13" s="5" t="n">
        <f aca="false">SUM('10-Year Monthly Projections'!I112:I123)</f>
        <v>532788</v>
      </c>
      <c r="F13" s="5" t="n">
        <f aca="false">D13-E13</f>
        <v>13932</v>
      </c>
      <c r="G13" s="13" t="n">
        <f aca="false">IF(E13=0,0,D13/E13)</f>
        <v>1.02614923759544</v>
      </c>
      <c r="H13" s="5" t="n">
        <f aca="false">H12+F13</f>
        <v>135198.45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23.41"/>
  </cols>
  <sheetData>
    <row r="1" customFormat="false" ht="17.35" hidden="false" customHeight="false" outlineLevel="0" collapsed="false">
      <c r="A1" s="9" t="s">
        <v>212</v>
      </c>
    </row>
    <row r="3" customFormat="false" ht="15" hidden="false" customHeight="false" outlineLevel="0" collapsed="false">
      <c r="A3" s="2" t="s">
        <v>213</v>
      </c>
    </row>
    <row r="4" customFormat="false" ht="15" hidden="false" customHeight="false" outlineLevel="0" collapsed="false">
      <c r="A4" s="0" t="s">
        <v>214</v>
      </c>
      <c r="B4" s="5" t="n">
        <v>850000</v>
      </c>
    </row>
    <row r="5" customFormat="false" ht="15" hidden="false" customHeight="false" outlineLevel="0" collapsed="false">
      <c r="A5" s="4" t="s">
        <v>215</v>
      </c>
      <c r="B5" s="3" t="n">
        <f aca="false">B4</f>
        <v>850000</v>
      </c>
    </row>
    <row r="7" customFormat="false" ht="15" hidden="false" customHeight="false" outlineLevel="0" collapsed="false">
      <c r="A7" s="2" t="s">
        <v>216</v>
      </c>
    </row>
    <row r="8" customFormat="false" ht="15" hidden="false" customHeight="false" outlineLevel="0" collapsed="false">
      <c r="A8" s="0" t="s">
        <v>13</v>
      </c>
      <c r="B8" s="5" t="n">
        <f aca="false">'Renovation Budget Detail'!E156</f>
        <v>450234.1</v>
      </c>
    </row>
    <row r="9" customFormat="false" ht="15" hidden="false" customHeight="false" outlineLevel="0" collapsed="false">
      <c r="A9" s="0" t="s">
        <v>15</v>
      </c>
      <c r="B9" s="5" t="n">
        <v>600000</v>
      </c>
    </row>
    <row r="10" customFormat="false" ht="15" hidden="false" customHeight="false" outlineLevel="0" collapsed="false">
      <c r="A10" s="0" t="s">
        <v>217</v>
      </c>
      <c r="B10" s="5" t="n">
        <f aca="false">'Renovation Budget Detail'!E$13</f>
        <v>15</v>
      </c>
    </row>
    <row r="11" customFormat="false" ht="15" hidden="false" customHeight="false" outlineLevel="0" collapsed="false">
      <c r="A11" s="0" t="s">
        <v>218</v>
      </c>
      <c r="B11" s="5" t="n">
        <v>25000</v>
      </c>
    </row>
    <row r="12" customFormat="false" ht="15" hidden="false" customHeight="false" outlineLevel="0" collapsed="false">
      <c r="A12" s="4" t="s">
        <v>219</v>
      </c>
      <c r="B12" s="3" t="n">
        <f aca="false">SUM(B8:B11)</f>
        <v>1075249.1</v>
      </c>
    </row>
    <row r="14" customFormat="false" ht="15" hidden="false" customHeight="false" outlineLevel="0" collapsed="false">
      <c r="A14" s="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23.28"/>
    <col collapsed="false" customWidth="true" hidden="false" outlineLevel="0" max="4" min="4" style="0" width="16.18"/>
    <col collapsed="false" customWidth="true" hidden="false" outlineLevel="0" max="5" min="5" style="0" width="14.83"/>
    <col collapsed="false" customWidth="true" hidden="false" outlineLevel="0" max="6" min="6" style="0" width="21.08"/>
  </cols>
  <sheetData>
    <row r="1" customFormat="false" ht="17.35" hidden="false" customHeight="false" outlineLevel="0" collapsed="false">
      <c r="A1" s="9" t="s">
        <v>221</v>
      </c>
    </row>
    <row r="2" customFormat="false" ht="15" hidden="false" customHeight="false" outlineLevel="0" collapsed="false">
      <c r="A2" s="0" t="s">
        <v>222</v>
      </c>
    </row>
    <row r="4" customFormat="false" ht="15" hidden="false" customHeight="false" outlineLevel="0" collapsed="false">
      <c r="A4" s="4" t="s">
        <v>194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</row>
    <row r="5" customFormat="false" ht="15" hidden="false" customHeight="false" outlineLevel="0" collapsed="false">
      <c r="A5" s="0" t="n">
        <v>1</v>
      </c>
      <c r="B5" s="0" t="n">
        <v>1</v>
      </c>
      <c r="C5" s="7" t="n">
        <v>6281.43</v>
      </c>
      <c r="D5" s="7" t="n">
        <v>5312.5</v>
      </c>
      <c r="E5" s="7" t="n">
        <v>968.93</v>
      </c>
      <c r="F5" s="7" t="n">
        <v>849031.07</v>
      </c>
    </row>
    <row r="6" customFormat="false" ht="15" hidden="false" customHeight="false" outlineLevel="0" collapsed="false">
      <c r="A6" s="0" t="n">
        <v>1</v>
      </c>
      <c r="B6" s="0" t="n">
        <v>2</v>
      </c>
      <c r="C6" s="7" t="n">
        <v>6281.43</v>
      </c>
      <c r="D6" s="7" t="n">
        <v>5306.4441875</v>
      </c>
      <c r="E6" s="7" t="n">
        <v>974.985812500001</v>
      </c>
      <c r="F6" s="7" t="n">
        <v>848056.0841875</v>
      </c>
    </row>
    <row r="7" customFormat="false" ht="15" hidden="false" customHeight="false" outlineLevel="0" collapsed="false">
      <c r="A7" s="0" t="n">
        <v>1</v>
      </c>
      <c r="B7" s="0" t="n">
        <v>3</v>
      </c>
      <c r="C7" s="7" t="n">
        <v>6281.43</v>
      </c>
      <c r="D7" s="7" t="n">
        <v>5300.35052617188</v>
      </c>
      <c r="E7" s="7" t="n">
        <v>981.079473828126</v>
      </c>
      <c r="F7" s="7" t="n">
        <v>847075.004713672</v>
      </c>
    </row>
    <row r="8" customFormat="false" ht="15" hidden="false" customHeight="false" outlineLevel="0" collapsed="false">
      <c r="A8" s="0" t="n">
        <v>1</v>
      </c>
      <c r="B8" s="0" t="n">
        <v>4</v>
      </c>
      <c r="C8" s="7" t="n">
        <v>6281.43</v>
      </c>
      <c r="D8" s="7" t="n">
        <v>5294.21877946045</v>
      </c>
      <c r="E8" s="7" t="n">
        <v>987.211220539552</v>
      </c>
      <c r="F8" s="7" t="n">
        <v>846087.793493132</v>
      </c>
    </row>
    <row r="9" customFormat="false" ht="15" hidden="false" customHeight="false" outlineLevel="0" collapsed="false">
      <c r="A9" s="0" t="n">
        <v>1</v>
      </c>
      <c r="B9" s="0" t="n">
        <v>5</v>
      </c>
      <c r="C9" s="7" t="n">
        <v>6281.43</v>
      </c>
      <c r="D9" s="7" t="n">
        <v>5288.04870933208</v>
      </c>
      <c r="E9" s="7" t="n">
        <v>993.381290667923</v>
      </c>
      <c r="F9" s="7" t="n">
        <v>845094.412202464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7" t="n">
        <v>6281.43</v>
      </c>
      <c r="D10" s="7" t="n">
        <v>5281.8400762654</v>
      </c>
      <c r="E10" s="7" t="n">
        <v>999.589923734598</v>
      </c>
      <c r="F10" s="7" t="n">
        <v>844094.82227873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7" t="n">
        <v>6281.43</v>
      </c>
      <c r="D11" s="7" t="n">
        <v>5275.59263924206</v>
      </c>
      <c r="E11" s="7" t="n">
        <v>1005.83736075794</v>
      </c>
      <c r="F11" s="7" t="n">
        <v>843088.984917972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7" t="n">
        <v>6281.43</v>
      </c>
      <c r="D12" s="7" t="n">
        <v>5269.30615573732</v>
      </c>
      <c r="E12" s="7" t="n">
        <v>1012.12384426268</v>
      </c>
      <c r="F12" s="7" t="n">
        <v>842076.861073709</v>
      </c>
    </row>
    <row r="13" customFormat="false" ht="15" hidden="false" customHeight="false" outlineLevel="0" collapsed="false">
      <c r="A13" s="0" t="n">
        <v>1</v>
      </c>
      <c r="B13" s="0" t="n">
        <v>9</v>
      </c>
      <c r="C13" s="7" t="n">
        <v>6281.43</v>
      </c>
      <c r="D13" s="7" t="n">
        <v>5262.98038171068</v>
      </c>
      <c r="E13" s="7" t="n">
        <v>1018.44961828932</v>
      </c>
      <c r="F13" s="7" t="n">
        <v>841058.41145542</v>
      </c>
    </row>
    <row r="14" customFormat="false" ht="15" hidden="false" customHeight="false" outlineLevel="0" collapsed="false">
      <c r="A14" s="0" t="n">
        <v>1</v>
      </c>
      <c r="B14" s="0" t="n">
        <v>10</v>
      </c>
      <c r="C14" s="7" t="n">
        <v>6281.43</v>
      </c>
      <c r="D14" s="7" t="n">
        <v>5256.61507159637</v>
      </c>
      <c r="E14" s="7" t="n">
        <v>1024.81492840363</v>
      </c>
      <c r="F14" s="7" t="n">
        <v>840033.596527016</v>
      </c>
    </row>
    <row r="15" customFormat="false" ht="15" hidden="false" customHeight="false" outlineLevel="0" collapsed="false">
      <c r="A15" s="0" t="n">
        <v>1</v>
      </c>
      <c r="B15" s="0" t="n">
        <v>11</v>
      </c>
      <c r="C15" s="7" t="n">
        <v>6281.43</v>
      </c>
      <c r="D15" s="7" t="n">
        <v>5250.20997829385</v>
      </c>
      <c r="E15" s="7" t="n">
        <v>1031.22002170615</v>
      </c>
      <c r="F15" s="7" t="n">
        <v>839002.37650531</v>
      </c>
    </row>
    <row r="16" customFormat="false" ht="15" hidden="false" customHeight="false" outlineLevel="0" collapsed="false">
      <c r="A16" s="0" t="n">
        <v>1</v>
      </c>
      <c r="B16" s="0" t="n">
        <v>12</v>
      </c>
      <c r="C16" s="7" t="n">
        <v>6281.43</v>
      </c>
      <c r="D16" s="7" t="n">
        <v>5243.76485315819</v>
      </c>
      <c r="E16" s="7" t="n">
        <v>1037.66514684181</v>
      </c>
      <c r="F16" s="7" t="n">
        <v>837964.711358468</v>
      </c>
    </row>
    <row r="17" customFormat="false" ht="15" hidden="false" customHeight="false" outlineLevel="0" collapsed="false">
      <c r="A17" s="0" t="n">
        <v>2</v>
      </c>
      <c r="B17" s="0" t="n">
        <v>1</v>
      </c>
      <c r="C17" s="7" t="n">
        <v>6281.43</v>
      </c>
      <c r="D17" s="7" t="n">
        <v>5237.27944599043</v>
      </c>
      <c r="E17" s="7" t="n">
        <v>1044.15055400957</v>
      </c>
      <c r="F17" s="7" t="n">
        <v>836920.560804459</v>
      </c>
    </row>
    <row r="18" customFormat="false" ht="15" hidden="false" customHeight="false" outlineLevel="0" collapsed="false">
      <c r="A18" s="0" t="n">
        <v>2</v>
      </c>
      <c r="B18" s="0" t="n">
        <v>2</v>
      </c>
      <c r="C18" s="7" t="n">
        <v>6281.43</v>
      </c>
      <c r="D18" s="7" t="n">
        <v>5230.75350502787</v>
      </c>
      <c r="E18" s="7" t="n">
        <v>1050.67649497213</v>
      </c>
      <c r="F18" s="7" t="n">
        <v>835869.884309487</v>
      </c>
    </row>
    <row r="19" customFormat="false" ht="15" hidden="false" customHeight="false" outlineLevel="0" collapsed="false">
      <c r="A19" s="0" t="n">
        <v>2</v>
      </c>
      <c r="B19" s="0" t="n">
        <v>3</v>
      </c>
      <c r="C19" s="7" t="n">
        <v>6281.43</v>
      </c>
      <c r="D19" s="7" t="n">
        <v>5224.18677693429</v>
      </c>
      <c r="E19" s="7" t="n">
        <v>1057.24322306571</v>
      </c>
      <c r="F19" s="7" t="n">
        <v>834812.641086421</v>
      </c>
    </row>
    <row r="20" customFormat="false" ht="15" hidden="false" customHeight="false" outlineLevel="0" collapsed="false">
      <c r="A20" s="0" t="n">
        <v>2</v>
      </c>
      <c r="B20" s="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 customFormat="false" ht="15" hidden="false" customHeight="false" outlineLevel="0" collapsed="false">
      <c r="A21" s="0" t="n">
        <v>2</v>
      </c>
      <c r="B21" s="0" t="n">
        <v>5</v>
      </c>
      <c r="C21" s="7" t="n">
        <v>6281.43</v>
      </c>
      <c r="D21" s="7" t="n">
        <v>5210.92993808257</v>
      </c>
      <c r="E21" s="7" t="n">
        <v>1070.50006191743</v>
      </c>
      <c r="F21" s="7" t="n">
        <v>832678.290031294</v>
      </c>
    </row>
    <row r="22" customFormat="false" ht="15" hidden="false" customHeight="false" outlineLevel="0" collapsed="false">
      <c r="A22" s="0" t="n">
        <v>2</v>
      </c>
      <c r="B22" s="0" t="n">
        <v>6</v>
      </c>
      <c r="C22" s="7" t="n">
        <v>6281.43</v>
      </c>
      <c r="D22" s="7" t="n">
        <v>5204.23931269558</v>
      </c>
      <c r="E22" s="7" t="n">
        <v>1077.19068730442</v>
      </c>
      <c r="F22" s="7" t="n">
        <v>831601.099343989</v>
      </c>
    </row>
    <row r="23" customFormat="false" ht="15" hidden="false" customHeight="false" outlineLevel="0" collapsed="false">
      <c r="A23" s="0" t="n">
        <v>2</v>
      </c>
      <c r="B23" s="0" t="n">
        <v>7</v>
      </c>
      <c r="C23" s="7" t="n">
        <v>6281.43</v>
      </c>
      <c r="D23" s="7" t="n">
        <v>5197.50687089993</v>
      </c>
      <c r="E23" s="7" t="n">
        <v>1083.92312910007</v>
      </c>
      <c r="F23" s="7" t="n">
        <v>830517.176214889</v>
      </c>
    </row>
    <row r="24" customFormat="false" ht="15" hidden="false" customHeight="false" outlineLevel="0" collapsed="false">
      <c r="A24" s="0" t="n">
        <v>2</v>
      </c>
      <c r="B24" s="0" t="n">
        <v>8</v>
      </c>
      <c r="C24" s="7" t="n">
        <v>6281.43</v>
      </c>
      <c r="D24" s="7" t="n">
        <v>5190.73235134306</v>
      </c>
      <c r="E24" s="7" t="n">
        <v>1090.69764865694</v>
      </c>
      <c r="F24" s="7" t="n">
        <v>829426.478566232</v>
      </c>
    </row>
    <row r="25" customFormat="false" ht="15" hidden="false" customHeight="false" outlineLevel="0" collapsed="false">
      <c r="A25" s="0" t="n">
        <v>2</v>
      </c>
      <c r="B25" s="0" t="n">
        <v>9</v>
      </c>
      <c r="C25" s="7" t="n">
        <v>6281.43</v>
      </c>
      <c r="D25" s="7" t="n">
        <v>5183.91549103895</v>
      </c>
      <c r="E25" s="7" t="n">
        <v>1097.51450896105</v>
      </c>
      <c r="F25" s="7" t="n">
        <v>828328.964057271</v>
      </c>
    </row>
    <row r="26" customFormat="false" ht="15" hidden="false" customHeight="false" outlineLevel="0" collapsed="false">
      <c r="A26" s="0" t="n">
        <v>2</v>
      </c>
      <c r="B26" s="0" t="n">
        <v>10</v>
      </c>
      <c r="C26" s="7" t="n">
        <v>6281.43</v>
      </c>
      <c r="D26" s="7" t="n">
        <v>5177.05602535794</v>
      </c>
      <c r="E26" s="7" t="n">
        <v>1104.37397464206</v>
      </c>
      <c r="F26" s="7" t="n">
        <v>827224.590082629</v>
      </c>
    </row>
    <row r="27" customFormat="false" ht="15" hidden="false" customHeight="false" outlineLevel="0" collapsed="false">
      <c r="A27" s="0" t="n">
        <v>2</v>
      </c>
      <c r="B27" s="0" t="n">
        <v>11</v>
      </c>
      <c r="C27" s="7" t="n">
        <v>6281.43</v>
      </c>
      <c r="D27" s="7" t="n">
        <v>5170.15368801643</v>
      </c>
      <c r="E27" s="7" t="n">
        <v>1111.27631198357</v>
      </c>
      <c r="F27" s="7" t="n">
        <v>826113.313770646</v>
      </c>
    </row>
    <row r="28" customFormat="false" ht="15" hidden="false" customHeight="false" outlineLevel="0" collapsed="false">
      <c r="A28" s="0" t="n">
        <v>2</v>
      </c>
      <c r="B28" s="0" t="n">
        <v>12</v>
      </c>
      <c r="C28" s="7" t="n">
        <v>6281.43</v>
      </c>
      <c r="D28" s="7" t="n">
        <v>5163.20821106653</v>
      </c>
      <c r="E28" s="7" t="n">
        <v>1118.22178893347</v>
      </c>
      <c r="F28" s="7" t="n">
        <v>824995.091981712</v>
      </c>
    </row>
    <row r="29" customFormat="false" ht="15" hidden="false" customHeight="false" outlineLevel="0" collapsed="false">
      <c r="A29" s="0" t="n">
        <v>3</v>
      </c>
      <c r="B29" s="0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823869.881306598</v>
      </c>
    </row>
    <row r="30" customFormat="false" ht="15" hidden="false" customHeight="false" outlineLevel="0" collapsed="false">
      <c r="A30" s="0" t="n">
        <v>3</v>
      </c>
      <c r="B30" s="0" t="n">
        <v>2</v>
      </c>
      <c r="C30" s="7" t="n">
        <v>6281.43</v>
      </c>
      <c r="D30" s="7" t="n">
        <v>5149.18675816624</v>
      </c>
      <c r="E30" s="7" t="n">
        <v>1132.24324183377</v>
      </c>
      <c r="F30" s="7" t="n">
        <v>822737.638064764</v>
      </c>
    </row>
    <row r="31" customFormat="false" ht="15" hidden="false" customHeight="false" outlineLevel="0" collapsed="false">
      <c r="A31" s="0" t="n">
        <v>3</v>
      </c>
      <c r="B31" s="0" t="n">
        <v>3</v>
      </c>
      <c r="C31" s="7" t="n">
        <v>6281.43</v>
      </c>
      <c r="D31" s="7" t="n">
        <v>5142.11023790477</v>
      </c>
      <c r="E31" s="7" t="n">
        <v>1139.31976209523</v>
      </c>
      <c r="F31" s="7" t="n">
        <v>821598.318302669</v>
      </c>
    </row>
    <row r="32" customFormat="false" ht="15" hidden="false" customHeight="false" outlineLevel="0" collapsed="false">
      <c r="A32" s="0" t="n">
        <v>3</v>
      </c>
      <c r="B32" s="0" t="n">
        <v>4</v>
      </c>
      <c r="C32" s="7" t="n">
        <v>6281.43</v>
      </c>
      <c r="D32" s="7" t="n">
        <v>5134.98948939168</v>
      </c>
      <c r="E32" s="7" t="n">
        <v>1146.44051060832</v>
      </c>
      <c r="F32" s="7" t="n">
        <v>820451.87779206</v>
      </c>
    </row>
    <row r="33" customFormat="false" ht="15" hidden="false" customHeight="false" outlineLevel="0" collapsed="false">
      <c r="A33" s="0" t="n">
        <v>3</v>
      </c>
      <c r="B33" s="0" t="n">
        <v>5</v>
      </c>
      <c r="C33" s="7" t="n">
        <v>6281.43</v>
      </c>
      <c r="D33" s="7" t="n">
        <v>5127.82423620038</v>
      </c>
      <c r="E33" s="7" t="n">
        <v>1153.60576379962</v>
      </c>
      <c r="F33" s="7" t="n">
        <v>819298.272028261</v>
      </c>
    </row>
    <row r="34" customFormat="false" ht="15" hidden="false" customHeight="false" outlineLevel="0" collapsed="false">
      <c r="A34" s="0" t="n">
        <v>3</v>
      </c>
      <c r="B34" s="0" t="n">
        <v>6</v>
      </c>
      <c r="C34" s="7" t="n">
        <v>6281.43</v>
      </c>
      <c r="D34" s="7" t="n">
        <v>5120.61420017663</v>
      </c>
      <c r="E34" s="7" t="n">
        <v>1160.81579982337</v>
      </c>
      <c r="F34" s="7" t="n">
        <v>818137.456228437</v>
      </c>
    </row>
    <row r="35" customFormat="false" ht="15" hidden="false" customHeight="false" outlineLevel="0" collapsed="false">
      <c r="A35" s="0" t="n">
        <v>3</v>
      </c>
      <c r="B35" s="0" t="n">
        <v>7</v>
      </c>
      <c r="C35" s="7" t="n">
        <v>6281.43</v>
      </c>
      <c r="D35" s="7" t="n">
        <v>5113.35910142773</v>
      </c>
      <c r="E35" s="7" t="n">
        <v>1168.07089857227</v>
      </c>
      <c r="F35" s="7" t="n">
        <v>816969.385329865</v>
      </c>
    </row>
    <row r="36" customFormat="false" ht="15" hidden="false" customHeight="false" outlineLevel="0" collapsed="false">
      <c r="A36" s="0" t="n">
        <v>3</v>
      </c>
      <c r="B36" s="0" t="n">
        <v>8</v>
      </c>
      <c r="C36" s="7" t="n">
        <v>6281.43</v>
      </c>
      <c r="D36" s="7" t="n">
        <v>5106.05865831166</v>
      </c>
      <c r="E36" s="7" t="n">
        <v>1175.37134168834</v>
      </c>
      <c r="F36" s="7" t="n">
        <v>815794.013988177</v>
      </c>
    </row>
    <row r="37" customFormat="false" ht="15" hidden="false" customHeight="false" outlineLevel="0" collapsed="false">
      <c r="A37" s="0" t="n">
        <v>3</v>
      </c>
      <c r="B37" s="0" t="n">
        <v>9</v>
      </c>
      <c r="C37" s="7" t="n">
        <v>6281.43</v>
      </c>
      <c r="D37" s="7" t="n">
        <v>5098.71258742611</v>
      </c>
      <c r="E37" s="7" t="n">
        <v>1182.7174125739</v>
      </c>
      <c r="F37" s="7" t="n">
        <v>814611.296575603</v>
      </c>
    </row>
    <row r="38" customFormat="false" ht="15" hidden="false" customHeight="false" outlineLevel="0" collapsed="false">
      <c r="A38" s="0" t="n">
        <v>3</v>
      </c>
      <c r="B38" s="0" t="n">
        <v>10</v>
      </c>
      <c r="C38" s="7" t="n">
        <v>6281.43</v>
      </c>
      <c r="D38" s="7" t="n">
        <v>5091.32060359752</v>
      </c>
      <c r="E38" s="7" t="n">
        <v>1190.10939640248</v>
      </c>
      <c r="F38" s="7" t="n">
        <v>813421.187179201</v>
      </c>
    </row>
    <row r="39" customFormat="false" ht="15" hidden="false" customHeight="false" outlineLevel="0" collapsed="false">
      <c r="A39" s="0" t="n">
        <v>3</v>
      </c>
      <c r="B39" s="0" t="n">
        <v>11</v>
      </c>
      <c r="C39" s="7" t="n">
        <v>6281.43</v>
      </c>
      <c r="D39" s="7" t="n">
        <v>5083.88241987</v>
      </c>
      <c r="E39" s="7" t="n">
        <v>1197.54758013</v>
      </c>
      <c r="F39" s="7" t="n">
        <v>812223.63959907</v>
      </c>
    </row>
    <row r="40" customFormat="false" ht="15" hidden="false" customHeight="false" outlineLevel="0" collapsed="false">
      <c r="A40" s="0" t="n">
        <v>3</v>
      </c>
      <c r="B40" s="0" t="n">
        <v>12</v>
      </c>
      <c r="C40" s="7" t="n">
        <v>6281.43</v>
      </c>
      <c r="D40" s="7" t="n">
        <v>5076.39774749419</v>
      </c>
      <c r="E40" s="7" t="n">
        <v>1205.03225250581</v>
      </c>
      <c r="F40" s="7" t="n">
        <v>811018.607346565</v>
      </c>
    </row>
    <row r="41" customFormat="false" ht="15" hidden="false" customHeight="false" outlineLevel="0" collapsed="false">
      <c r="A41" s="0" t="n">
        <v>4</v>
      </c>
      <c r="B41" s="0" t="n">
        <v>1</v>
      </c>
      <c r="C41" s="7" t="n">
        <v>6281.43</v>
      </c>
      <c r="D41" s="7" t="n">
        <v>5068.86629591603</v>
      </c>
      <c r="E41" s="7" t="n">
        <v>1212.56370408397</v>
      </c>
      <c r="F41" s="7" t="n">
        <v>809806.043642481</v>
      </c>
    </row>
    <row r="42" customFormat="false" ht="15" hidden="false" customHeight="false" outlineLevel="0" collapsed="false">
      <c r="A42" s="0" t="n">
        <v>4</v>
      </c>
      <c r="B42" s="0" t="n">
        <v>2</v>
      </c>
      <c r="C42" s="7" t="n">
        <v>6281.43</v>
      </c>
      <c r="D42" s="7" t="n">
        <v>5061.2877727655</v>
      </c>
      <c r="E42" s="7" t="n">
        <v>1220.1422272345</v>
      </c>
      <c r="F42" s="7" t="n">
        <v>808585.901415246</v>
      </c>
    </row>
    <row r="43" customFormat="false" ht="15" hidden="false" customHeight="false" outlineLevel="0" collapsed="false">
      <c r="A43" s="0" t="n">
        <v>4</v>
      </c>
      <c r="B43" s="0" t="n">
        <v>3</v>
      </c>
      <c r="C43" s="7" t="n">
        <v>6281.43</v>
      </c>
      <c r="D43" s="7" t="n">
        <v>5053.66188384529</v>
      </c>
      <c r="E43" s="7" t="n">
        <v>1227.76811615471</v>
      </c>
      <c r="F43" s="7" t="n">
        <v>807358.133299091</v>
      </c>
    </row>
    <row r="44" customFormat="false" ht="15" hidden="false" customHeight="false" outlineLevel="0" collapsed="false">
      <c r="A44" s="0" t="n">
        <v>4</v>
      </c>
      <c r="B44" s="0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806122.691632211</v>
      </c>
    </row>
    <row r="45" customFormat="false" ht="15" hidden="false" customHeight="false" outlineLevel="0" collapsed="false">
      <c r="A45" s="0" t="n">
        <v>4</v>
      </c>
      <c r="B45" s="0" t="n">
        <v>5</v>
      </c>
      <c r="C45" s="7" t="n">
        <v>6281.43</v>
      </c>
      <c r="D45" s="7" t="n">
        <v>5038.26682270132</v>
      </c>
      <c r="E45" s="7" t="n">
        <v>1243.16317729868</v>
      </c>
      <c r="F45" s="7" t="n">
        <v>804879.528454912</v>
      </c>
    </row>
    <row r="46" customFormat="false" ht="15" hidden="false" customHeight="false" outlineLevel="0" collapsed="false">
      <c r="A46" s="0" t="n">
        <v>4</v>
      </c>
      <c r="B46" s="0" t="n">
        <v>6</v>
      </c>
      <c r="C46" s="7" t="n">
        <v>6281.43</v>
      </c>
      <c r="D46" s="7" t="n">
        <v>5030.4970528432</v>
      </c>
      <c r="E46" s="7" t="n">
        <v>1250.9329471568</v>
      </c>
      <c r="F46" s="7" t="n">
        <v>803628.595507755</v>
      </c>
    </row>
    <row r="47" customFormat="false" ht="15" hidden="false" customHeight="false" outlineLevel="0" collapsed="false">
      <c r="A47" s="0" t="n">
        <v>4</v>
      </c>
      <c r="B47" s="0" t="n">
        <v>7</v>
      </c>
      <c r="C47" s="7" t="n">
        <v>6281.43</v>
      </c>
      <c r="D47" s="7" t="n">
        <v>5022.67872192347</v>
      </c>
      <c r="E47" s="7" t="n">
        <v>1258.75127807653</v>
      </c>
      <c r="F47" s="7" t="n">
        <v>802369.844229679</v>
      </c>
    </row>
    <row r="48" customFormat="false" ht="15" hidden="false" customHeight="false" outlineLevel="0" collapsed="false">
      <c r="A48" s="0" t="n">
        <v>4</v>
      </c>
      <c r="B48" s="0" t="n">
        <v>8</v>
      </c>
      <c r="C48" s="7" t="n">
        <v>6281.43</v>
      </c>
      <c r="D48" s="7" t="n">
        <v>5014.81152643549</v>
      </c>
      <c r="E48" s="7" t="n">
        <v>1266.61847356451</v>
      </c>
      <c r="F48" s="7" t="n">
        <v>801103.225756114</v>
      </c>
    </row>
    <row r="49" customFormat="false" ht="15" hidden="false" customHeight="false" outlineLevel="0" collapsed="false">
      <c r="A49" s="0" t="n">
        <v>4</v>
      </c>
      <c r="B49" s="0" t="n">
        <v>9</v>
      </c>
      <c r="C49" s="7" t="n">
        <v>6281.43</v>
      </c>
      <c r="D49" s="7" t="n">
        <v>5006.89516097571</v>
      </c>
      <c r="E49" s="7" t="n">
        <v>1274.53483902429</v>
      </c>
      <c r="F49" s="7" t="n">
        <v>799828.69091709</v>
      </c>
    </row>
    <row r="50" customFormat="false" ht="15" hidden="false" customHeight="false" outlineLevel="0" collapsed="false">
      <c r="A50" s="0" t="n">
        <v>4</v>
      </c>
      <c r="B50" s="0" t="n">
        <v>10</v>
      </c>
      <c r="C50" s="7" t="n">
        <v>6281.43</v>
      </c>
      <c r="D50" s="7" t="n">
        <v>4998.92931823181</v>
      </c>
      <c r="E50" s="7" t="n">
        <v>1282.50068176819</v>
      </c>
      <c r="F50" s="7" t="n">
        <v>798546.190235322</v>
      </c>
    </row>
    <row r="51" customFormat="false" ht="15" hidden="false" customHeight="false" outlineLevel="0" collapsed="false">
      <c r="A51" s="0" t="n">
        <v>4</v>
      </c>
      <c r="B51" s="0" t="n">
        <v>11</v>
      </c>
      <c r="C51" s="7" t="n">
        <v>6281.43</v>
      </c>
      <c r="D51" s="7" t="n">
        <v>4990.91368897076</v>
      </c>
      <c r="E51" s="7" t="n">
        <v>1290.51631102924</v>
      </c>
      <c r="F51" s="7" t="n">
        <v>797255.673924292</v>
      </c>
    </row>
    <row r="52" customFormat="false" ht="15" hidden="false" customHeight="false" outlineLevel="0" collapsed="false">
      <c r="A52" s="0" t="n">
        <v>4</v>
      </c>
      <c r="B52" s="0" t="n">
        <v>12</v>
      </c>
      <c r="C52" s="7" t="n">
        <v>6281.43</v>
      </c>
      <c r="D52" s="7" t="n">
        <v>4982.84796202683</v>
      </c>
      <c r="E52" s="7" t="n">
        <v>1298.58203797317</v>
      </c>
      <c r="F52" s="7" t="n">
        <v>795957.091886319</v>
      </c>
    </row>
    <row r="53" customFormat="false" ht="15" hidden="false" customHeight="false" outlineLevel="0" collapsed="false">
      <c r="A53" s="0" t="n">
        <v>5</v>
      </c>
      <c r="B53" s="0" t="n">
        <v>1</v>
      </c>
      <c r="C53" s="7" t="n">
        <v>6281.43</v>
      </c>
      <c r="D53" s="7" t="n">
        <v>4974.73182428949</v>
      </c>
      <c r="E53" s="7" t="n">
        <v>1306.69817571051</v>
      </c>
      <c r="F53" s="7" t="n">
        <v>794650.393710609</v>
      </c>
    </row>
    <row r="54" customFormat="false" ht="15" hidden="false" customHeight="false" outlineLevel="0" collapsed="false">
      <c r="A54" s="0" t="n">
        <v>5</v>
      </c>
      <c r="B54" s="0" t="n">
        <v>2</v>
      </c>
      <c r="C54" s="7" t="n">
        <v>6281.43</v>
      </c>
      <c r="D54" s="7" t="n">
        <v>4966.5649606913</v>
      </c>
      <c r="E54" s="7" t="n">
        <v>1314.8650393087</v>
      </c>
      <c r="F54" s="7" t="n">
        <v>793335.5286713</v>
      </c>
    </row>
    <row r="55" customFormat="false" ht="15" hidden="false" customHeight="false" outlineLevel="0" collapsed="false">
      <c r="A55" s="0" t="n">
        <v>5</v>
      </c>
      <c r="B55" s="0" t="n">
        <v>3</v>
      </c>
      <c r="C55" s="7" t="n">
        <v>6281.43</v>
      </c>
      <c r="D55" s="7" t="n">
        <v>4958.34705419563</v>
      </c>
      <c r="E55" s="7" t="n">
        <v>1323.08294580438</v>
      </c>
      <c r="F55" s="7" t="n">
        <v>792012.445725496</v>
      </c>
    </row>
    <row r="56" customFormat="false" ht="15" hidden="false" customHeight="false" outlineLevel="0" collapsed="false">
      <c r="A56" s="0" t="n">
        <v>5</v>
      </c>
      <c r="B56" s="0" t="n">
        <v>4</v>
      </c>
      <c r="C56" s="7" t="n">
        <v>6281.43</v>
      </c>
      <c r="D56" s="7" t="n">
        <v>4950.07778578435</v>
      </c>
      <c r="E56" s="7" t="n">
        <v>1331.35221421565</v>
      </c>
      <c r="F56" s="7" t="n">
        <v>790681.09351128</v>
      </c>
    </row>
    <row r="57" customFormat="false" ht="15" hidden="false" customHeight="false" outlineLevel="0" collapsed="false">
      <c r="A57" s="0" t="n">
        <v>5</v>
      </c>
      <c r="B57" s="0" t="n">
        <v>5</v>
      </c>
      <c r="C57" s="7" t="n">
        <v>6281.43</v>
      </c>
      <c r="D57" s="7" t="n">
        <v>4941.7568344455</v>
      </c>
      <c r="E57" s="7" t="n">
        <v>1339.6731655545</v>
      </c>
      <c r="F57" s="7" t="n">
        <v>789341.420345726</v>
      </c>
    </row>
    <row r="58" customFormat="false" ht="15" hidden="false" customHeight="false" outlineLevel="0" collapsed="false">
      <c r="A58" s="0" t="n">
        <v>5</v>
      </c>
      <c r="B58" s="0" t="n">
        <v>6</v>
      </c>
      <c r="C58" s="7" t="n">
        <v>6281.43</v>
      </c>
      <c r="D58" s="7" t="n">
        <v>4933.38387716078</v>
      </c>
      <c r="E58" s="7" t="n">
        <v>1348.04612283922</v>
      </c>
      <c r="F58" s="7" t="n">
        <v>787993.374222886</v>
      </c>
    </row>
    <row r="59" customFormat="false" ht="15" hidden="false" customHeight="false" outlineLevel="0" collapsed="false">
      <c r="A59" s="0" t="n">
        <v>5</v>
      </c>
      <c r="B59" s="0" t="n">
        <v>7</v>
      </c>
      <c r="C59" s="7" t="n">
        <v>6281.43</v>
      </c>
      <c r="D59" s="7" t="n">
        <v>4924.95858889304</v>
      </c>
      <c r="E59" s="7" t="n">
        <v>1356.47141110696</v>
      </c>
      <c r="F59" s="7" t="n">
        <v>786636.902811779</v>
      </c>
    </row>
    <row r="60" customFormat="false" ht="15" hidden="false" customHeight="false" outlineLevel="0" collapsed="false">
      <c r="A60" s="0" t="n">
        <v>5</v>
      </c>
      <c r="B60" s="0" t="n">
        <v>8</v>
      </c>
      <c r="C60" s="7" t="n">
        <v>6281.43</v>
      </c>
      <c r="D60" s="7" t="n">
        <v>4916.48064257362</v>
      </c>
      <c r="E60" s="7" t="n">
        <v>1364.94935742638</v>
      </c>
      <c r="F60" s="7" t="n">
        <v>785271.953454353</v>
      </c>
    </row>
    <row r="61" customFormat="false" ht="15" hidden="false" customHeight="false" outlineLevel="0" collapsed="false">
      <c r="A61" s="0" t="n">
        <v>5</v>
      </c>
      <c r="B61" s="0" t="n">
        <v>9</v>
      </c>
      <c r="C61" s="7" t="n">
        <v>6281.43</v>
      </c>
      <c r="D61" s="7" t="n">
        <v>4907.94970908971</v>
      </c>
      <c r="E61" s="7" t="n">
        <v>1373.4802909103</v>
      </c>
      <c r="F61" s="7" t="n">
        <v>783898.473163443</v>
      </c>
    </row>
    <row r="62" customFormat="false" ht="15" hidden="false" customHeight="false" outlineLevel="0" collapsed="false">
      <c r="A62" s="0" t="n">
        <v>5</v>
      </c>
      <c r="B62" s="0" t="n">
        <v>10</v>
      </c>
      <c r="C62" s="7" t="n">
        <v>6281.43</v>
      </c>
      <c r="D62" s="7" t="n">
        <v>4899.36545727152</v>
      </c>
      <c r="E62" s="7" t="n">
        <v>1382.06454272848</v>
      </c>
      <c r="F62" s="7" t="n">
        <v>782516.408620714</v>
      </c>
    </row>
    <row r="63" customFormat="false" ht="15" hidden="false" customHeight="false" outlineLevel="0" collapsed="false">
      <c r="A63" s="0" t="n">
        <v>5</v>
      </c>
      <c r="B63" s="0" t="n">
        <v>11</v>
      </c>
      <c r="C63" s="7" t="n">
        <v>6281.43</v>
      </c>
      <c r="D63" s="7" t="n">
        <v>4890.72755387946</v>
      </c>
      <c r="E63" s="7" t="n">
        <v>1390.70244612054</v>
      </c>
      <c r="F63" s="7" t="n">
        <v>781125.706174594</v>
      </c>
    </row>
    <row r="64" customFormat="false" ht="15" hidden="false" customHeight="false" outlineLevel="0" collapsed="false">
      <c r="A64" s="0" t="n">
        <v>5</v>
      </c>
      <c r="B64" s="0" t="n">
        <v>12</v>
      </c>
      <c r="C64" s="7" t="n">
        <v>6281.43</v>
      </c>
      <c r="D64" s="7" t="n">
        <v>4882.03566359121</v>
      </c>
      <c r="E64" s="7" t="n">
        <v>1399.39433640879</v>
      </c>
      <c r="F64" s="7" t="n">
        <v>779726.311838185</v>
      </c>
    </row>
    <row r="65" customFormat="false" ht="15" hidden="false" customHeight="false" outlineLevel="0" collapsed="false">
      <c r="A65" s="0" t="n">
        <v>6</v>
      </c>
      <c r="B65" s="0" t="n">
        <v>1</v>
      </c>
      <c r="C65" s="7" t="n">
        <v>6281.43</v>
      </c>
      <c r="D65" s="7" t="n">
        <v>4873.28944898865</v>
      </c>
      <c r="E65" s="7" t="n">
        <v>1408.14055101135</v>
      </c>
      <c r="F65" s="7" t="n">
        <v>778318.171287173</v>
      </c>
    </row>
    <row r="66" customFormat="false" ht="15" hidden="false" customHeight="false" outlineLevel="0" collapsed="false">
      <c r="A66" s="0" t="n">
        <v>6</v>
      </c>
      <c r="B66" s="0" t="n">
        <v>2</v>
      </c>
      <c r="C66" s="7" t="n">
        <v>6281.43</v>
      </c>
      <c r="D66" s="7" t="n">
        <v>4864.48857054483</v>
      </c>
      <c r="E66" s="7" t="n">
        <v>1416.94142945517</v>
      </c>
      <c r="F66" s="7" t="n">
        <v>776901.229857718</v>
      </c>
    </row>
    <row r="67" customFormat="false" ht="15" hidden="false" customHeight="false" outlineLevel="0" collapsed="false">
      <c r="A67" s="0" t="n">
        <v>6</v>
      </c>
      <c r="B67" s="0" t="n">
        <v>3</v>
      </c>
      <c r="C67" s="7" t="n">
        <v>6281.43</v>
      </c>
      <c r="D67" s="7" t="n">
        <v>4855.63268661074</v>
      </c>
      <c r="E67" s="7" t="n">
        <v>1425.79731338926</v>
      </c>
      <c r="F67" s="7" t="n">
        <v>775475.432544329</v>
      </c>
    </row>
    <row r="68" customFormat="false" ht="15" hidden="false" customHeight="false" outlineLevel="0" collapsed="false">
      <c r="A68" s="0" t="n">
        <v>6</v>
      </c>
      <c r="B68" s="0" t="n">
        <v>4</v>
      </c>
      <c r="C68" s="7" t="n">
        <v>6281.43</v>
      </c>
      <c r="D68" s="7" t="n">
        <v>4846.72145340206</v>
      </c>
      <c r="E68" s="7" t="n">
        <v>1434.70854659794</v>
      </c>
      <c r="F68" s="7" t="n">
        <v>774040.723997731</v>
      </c>
    </row>
    <row r="69" customFormat="false" ht="15" hidden="false" customHeight="false" outlineLevel="0" collapsed="false">
      <c r="A69" s="0" t="n">
        <v>6</v>
      </c>
      <c r="B69" s="0" t="n">
        <v>5</v>
      </c>
      <c r="C69" s="7" t="n">
        <v>6281.43</v>
      </c>
      <c r="D69" s="7" t="n">
        <v>4837.75452498582</v>
      </c>
      <c r="E69" s="7" t="n">
        <v>1443.67547501418</v>
      </c>
      <c r="F69" s="7" t="n">
        <v>772597.048522717</v>
      </c>
    </row>
    <row r="70" customFormat="false" ht="15" hidden="false" customHeight="false" outlineLevel="0" collapsed="false">
      <c r="A70" s="0" t="n">
        <v>6</v>
      </c>
      <c r="B70" s="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771144.350075984</v>
      </c>
    </row>
    <row r="71" customFormat="false" ht="15" hidden="false" customHeight="false" outlineLevel="0" collapsed="false">
      <c r="A71" s="0" t="n">
        <v>6</v>
      </c>
      <c r="B71" s="0" t="n">
        <v>7</v>
      </c>
      <c r="C71" s="7" t="n">
        <v>6281.43</v>
      </c>
      <c r="D71" s="7" t="n">
        <v>4819.6521879749</v>
      </c>
      <c r="E71" s="7" t="n">
        <v>1461.7778120251</v>
      </c>
      <c r="F71" s="7" t="n">
        <v>769682.572263959</v>
      </c>
    </row>
    <row r="72" customFormat="false" ht="15" hidden="false" customHeight="false" outlineLevel="0" collapsed="false">
      <c r="A72" s="0" t="n">
        <v>6</v>
      </c>
      <c r="B72" s="0" t="n">
        <v>8</v>
      </c>
      <c r="C72" s="7" t="n">
        <v>6281.43</v>
      </c>
      <c r="D72" s="7" t="n">
        <v>4810.51607664974</v>
      </c>
      <c r="E72" s="7" t="n">
        <v>1470.91392335026</v>
      </c>
      <c r="F72" s="7" t="n">
        <v>768211.658340608</v>
      </c>
    </row>
    <row r="73" customFormat="false" ht="15" hidden="false" customHeight="false" outlineLevel="0" collapsed="false">
      <c r="A73" s="0" t="n">
        <v>6</v>
      </c>
      <c r="B73" s="0" t="n">
        <v>9</v>
      </c>
      <c r="C73" s="7" t="n">
        <v>6281.43</v>
      </c>
      <c r="D73" s="7" t="n">
        <v>4801.3228646288</v>
      </c>
      <c r="E73" s="7" t="n">
        <v>1480.1071353712</v>
      </c>
      <c r="F73" s="7" t="n">
        <v>766731.551205237</v>
      </c>
    </row>
    <row r="74" customFormat="false" ht="15" hidden="false" customHeight="false" outlineLevel="0" collapsed="false">
      <c r="A74" s="0" t="n">
        <v>6</v>
      </c>
      <c r="B74" s="0" t="n">
        <v>10</v>
      </c>
      <c r="C74" s="7" t="n">
        <v>6281.43</v>
      </c>
      <c r="D74" s="7" t="n">
        <v>4792.07219503273</v>
      </c>
      <c r="E74" s="7" t="n">
        <v>1489.35780496727</v>
      </c>
      <c r="F74" s="7" t="n">
        <v>765242.19340027</v>
      </c>
    </row>
    <row r="75" customFormat="false" ht="15" hidden="false" customHeight="false" outlineLevel="0" collapsed="false">
      <c r="A75" s="0" t="n">
        <v>6</v>
      </c>
      <c r="B75" s="0" t="n">
        <v>11</v>
      </c>
      <c r="C75" s="7" t="n">
        <v>6281.43</v>
      </c>
      <c r="D75" s="7" t="n">
        <v>4782.76370875169</v>
      </c>
      <c r="E75" s="7" t="n">
        <v>1498.66629124831</v>
      </c>
      <c r="F75" s="7" t="n">
        <v>763743.527109022</v>
      </c>
    </row>
    <row r="76" customFormat="false" ht="15" hidden="false" customHeight="false" outlineLevel="0" collapsed="false">
      <c r="A76" s="0" t="n">
        <v>6</v>
      </c>
      <c r="B76" s="0" t="n">
        <v>12</v>
      </c>
      <c r="C76" s="7" t="n">
        <v>6281.43</v>
      </c>
      <c r="D76" s="7" t="n">
        <v>4773.39704443139</v>
      </c>
      <c r="E76" s="7" t="n">
        <v>1508.03295556862</v>
      </c>
      <c r="F76" s="7" t="n">
        <v>762235.494153453</v>
      </c>
    </row>
    <row r="77" customFormat="false" ht="15" hidden="false" customHeight="false" outlineLevel="0" collapsed="false">
      <c r="A77" s="0" t="n">
        <v>7</v>
      </c>
      <c r="B77" s="0" t="n">
        <v>1</v>
      </c>
      <c r="C77" s="7" t="n">
        <v>6281.43</v>
      </c>
      <c r="D77" s="7" t="n">
        <v>4763.97183845908</v>
      </c>
      <c r="E77" s="7" t="n">
        <v>1517.45816154092</v>
      </c>
      <c r="F77" s="7" t="n">
        <v>760718.035991912</v>
      </c>
    </row>
    <row r="78" customFormat="false" ht="15" hidden="false" customHeight="false" outlineLevel="0" collapsed="false">
      <c r="A78" s="0" t="n">
        <v>7</v>
      </c>
      <c r="B78" s="0" t="n">
        <v>2</v>
      </c>
      <c r="C78" s="7" t="n">
        <v>6281.43</v>
      </c>
      <c r="D78" s="7" t="n">
        <v>4754.48772494945</v>
      </c>
      <c r="E78" s="7" t="n">
        <v>1526.94227505055</v>
      </c>
      <c r="F78" s="7" t="n">
        <v>759191.093716861</v>
      </c>
    </row>
    <row r="79" customFormat="false" ht="15" hidden="false" customHeight="false" outlineLevel="0" collapsed="false">
      <c r="A79" s="0" t="n">
        <v>7</v>
      </c>
      <c r="B79" s="0" t="n">
        <v>3</v>
      </c>
      <c r="C79" s="7" t="n">
        <v>6281.43</v>
      </c>
      <c r="D79" s="7" t="n">
        <v>4744.94433573038</v>
      </c>
      <c r="E79" s="7" t="n">
        <v>1536.48566426962</v>
      </c>
      <c r="F79" s="7" t="n">
        <v>757654.608052592</v>
      </c>
    </row>
    <row r="80" customFormat="false" ht="15" hidden="false" customHeight="false" outlineLevel="0" collapsed="false">
      <c r="A80" s="0" t="n">
        <v>7</v>
      </c>
      <c r="B80" s="0" t="n">
        <v>4</v>
      </c>
      <c r="C80" s="7" t="n">
        <v>6281.43</v>
      </c>
      <c r="D80" s="7" t="n">
        <v>4735.3413003287</v>
      </c>
      <c r="E80" s="7" t="n">
        <v>1546.0886996713</v>
      </c>
      <c r="F80" s="7" t="n">
        <v>756108.519352921</v>
      </c>
    </row>
    <row r="81" customFormat="false" ht="15" hidden="false" customHeight="false" outlineLevel="0" collapsed="false">
      <c r="A81" s="0" t="n">
        <v>7</v>
      </c>
      <c r="B81" s="0" t="n">
        <v>5</v>
      </c>
      <c r="C81" s="7" t="n">
        <v>6281.43</v>
      </c>
      <c r="D81" s="7" t="n">
        <v>4725.67824595575</v>
      </c>
      <c r="E81" s="7" t="n">
        <v>1555.75175404425</v>
      </c>
      <c r="F81" s="7" t="n">
        <v>754552.767598876</v>
      </c>
    </row>
    <row r="82" customFormat="false" ht="15" hidden="false" customHeight="false" outlineLevel="0" collapsed="false">
      <c r="A82" s="0" t="n">
        <v>7</v>
      </c>
      <c r="B82" s="0" t="n">
        <v>6</v>
      </c>
      <c r="C82" s="7" t="n">
        <v>6281.43</v>
      </c>
      <c r="D82" s="7" t="n">
        <v>4715.95479749298</v>
      </c>
      <c r="E82" s="7" t="n">
        <v>1565.47520250702</v>
      </c>
      <c r="F82" s="7" t="n">
        <v>752987.292396369</v>
      </c>
    </row>
    <row r="83" customFormat="false" ht="15" hidden="false" customHeight="false" outlineLevel="0" collapsed="false">
      <c r="A83" s="0" t="n">
        <v>7</v>
      </c>
      <c r="B83" s="0" t="n">
        <v>7</v>
      </c>
      <c r="C83" s="7" t="n">
        <v>6281.43</v>
      </c>
      <c r="D83" s="7" t="n">
        <v>4706.17057747731</v>
      </c>
      <c r="E83" s="7" t="n">
        <v>1575.25942252269</v>
      </c>
      <c r="F83" s="7" t="n">
        <v>751412.032973847</v>
      </c>
    </row>
    <row r="84" customFormat="false" ht="15" hidden="false" customHeight="false" outlineLevel="0" collapsed="false">
      <c r="A84" s="0" t="n">
        <v>7</v>
      </c>
      <c r="B84" s="0" t="n">
        <v>8</v>
      </c>
      <c r="C84" s="7" t="n">
        <v>6281.43</v>
      </c>
      <c r="D84" s="7" t="n">
        <v>4696.32520608654</v>
      </c>
      <c r="E84" s="7" t="n">
        <v>1585.10479391346</v>
      </c>
      <c r="F84" s="7" t="n">
        <v>749826.928179933</v>
      </c>
    </row>
    <row r="85" customFormat="false" ht="15" hidden="false" customHeight="false" outlineLevel="0" collapsed="false">
      <c r="A85" s="0" t="n">
        <v>7</v>
      </c>
      <c r="B85" s="0" t="n">
        <v>9</v>
      </c>
      <c r="C85" s="7" t="n">
        <v>6281.43</v>
      </c>
      <c r="D85" s="7" t="n">
        <v>4686.41830112458</v>
      </c>
      <c r="E85" s="7" t="n">
        <v>1595.01169887542</v>
      </c>
      <c r="F85" s="7" t="n">
        <v>748231.916481058</v>
      </c>
    </row>
    <row r="86" customFormat="false" ht="15" hidden="false" customHeight="false" outlineLevel="0" collapsed="false">
      <c r="A86" s="0" t="n">
        <v>7</v>
      </c>
      <c r="B86" s="0" t="n">
        <v>10</v>
      </c>
      <c r="C86" s="7" t="n">
        <v>6281.43</v>
      </c>
      <c r="D86" s="7" t="n">
        <v>4676.44947800661</v>
      </c>
      <c r="E86" s="7" t="n">
        <v>1604.98052199339</v>
      </c>
      <c r="F86" s="7" t="n">
        <v>746626.935959064</v>
      </c>
    </row>
    <row r="87" customFormat="false" ht="15" hidden="false" customHeight="false" outlineLevel="0" collapsed="false">
      <c r="A87" s="0" t="n">
        <v>7</v>
      </c>
      <c r="B87" s="0" t="n">
        <v>11</v>
      </c>
      <c r="C87" s="7" t="n">
        <v>6281.43</v>
      </c>
      <c r="D87" s="7" t="n">
        <v>4666.41834974415</v>
      </c>
      <c r="E87" s="7" t="n">
        <v>1615.01165025585</v>
      </c>
      <c r="F87" s="7" t="n">
        <v>745011.924308808</v>
      </c>
    </row>
    <row r="88" customFormat="false" ht="15" hidden="false" customHeight="false" outlineLevel="0" collapsed="false">
      <c r="A88" s="0" t="n">
        <v>7</v>
      </c>
      <c r="B88" s="0" t="n">
        <v>12</v>
      </c>
      <c r="C88" s="7" t="n">
        <v>6281.43</v>
      </c>
      <c r="D88" s="7" t="n">
        <v>4656.32452693005</v>
      </c>
      <c r="E88" s="7" t="n">
        <v>1625.10547306995</v>
      </c>
      <c r="F88" s="7" t="n">
        <v>743386.818835739</v>
      </c>
    </row>
    <row r="89" customFormat="false" ht="15" hidden="false" customHeight="false" outlineLevel="0" collapsed="false">
      <c r="A89" s="0" t="n">
        <v>8</v>
      </c>
      <c r="B89" s="0" t="n">
        <v>1</v>
      </c>
      <c r="C89" s="7" t="n">
        <v>6281.43</v>
      </c>
      <c r="D89" s="7" t="n">
        <v>4646.16761772337</v>
      </c>
      <c r="E89" s="7" t="n">
        <v>1635.26238227664</v>
      </c>
      <c r="F89" s="7" t="n">
        <v>741751.556453462</v>
      </c>
    </row>
    <row r="90" customFormat="false" ht="15" hidden="false" customHeight="false" outlineLevel="0" collapsed="false">
      <c r="A90" s="0" t="n">
        <v>8</v>
      </c>
      <c r="B90" s="0" t="n">
        <v>2</v>
      </c>
      <c r="C90" s="7" t="n">
        <v>6281.43</v>
      </c>
      <c r="D90" s="7" t="n">
        <v>4635.94722783414</v>
      </c>
      <c r="E90" s="7" t="n">
        <v>1645.48277216586</v>
      </c>
      <c r="F90" s="7" t="n">
        <v>740106.073681296</v>
      </c>
    </row>
    <row r="91" customFormat="false" ht="15" hidden="false" customHeight="false" outlineLevel="0" collapsed="false">
      <c r="A91" s="0" t="n">
        <v>8</v>
      </c>
      <c r="B91" s="0" t="n">
        <v>3</v>
      </c>
      <c r="C91" s="7" t="n">
        <v>6281.43</v>
      </c>
      <c r="D91" s="7" t="n">
        <v>4625.6629605081</v>
      </c>
      <c r="E91" s="7" t="n">
        <v>1655.7670394919</v>
      </c>
      <c r="F91" s="7" t="n">
        <v>738450.306641804</v>
      </c>
    </row>
    <row r="92" customFormat="false" ht="15" hidden="false" customHeight="false" outlineLevel="0" collapsed="false">
      <c r="A92" s="0" t="n">
        <v>8</v>
      </c>
      <c r="B92" s="0" t="n">
        <v>4</v>
      </c>
      <c r="C92" s="7" t="n">
        <v>6281.43</v>
      </c>
      <c r="D92" s="7" t="n">
        <v>4615.31441651128</v>
      </c>
      <c r="E92" s="7" t="n">
        <v>1666.11558348873</v>
      </c>
      <c r="F92" s="7" t="n">
        <v>736784.191058315</v>
      </c>
    </row>
    <row r="93" customFormat="false" ht="15" hidden="false" customHeight="false" outlineLevel="0" collapsed="false">
      <c r="A93" s="0" t="n">
        <v>8</v>
      </c>
      <c r="B93" s="0" t="n">
        <v>5</v>
      </c>
      <c r="C93" s="7" t="n">
        <v>6281.43</v>
      </c>
      <c r="D93" s="7" t="n">
        <v>4604.90119411447</v>
      </c>
      <c r="E93" s="7" t="n">
        <v>1676.52880588553</v>
      </c>
      <c r="F93" s="7" t="n">
        <v>735107.66225243</v>
      </c>
    </row>
    <row r="94" customFormat="false" ht="15" hidden="false" customHeight="false" outlineLevel="0" collapsed="false">
      <c r="A94" s="0" t="n">
        <v>8</v>
      </c>
      <c r="B94" s="0" t="n">
        <v>6</v>
      </c>
      <c r="C94" s="7" t="n">
        <v>6281.43</v>
      </c>
      <c r="D94" s="7" t="n">
        <v>4594.42288907769</v>
      </c>
      <c r="E94" s="7" t="n">
        <v>1687.00711092231</v>
      </c>
      <c r="F94" s="7" t="n">
        <v>733420.655141507</v>
      </c>
    </row>
    <row r="95" customFormat="false" ht="15" hidden="false" customHeight="false" outlineLevel="0" collapsed="false">
      <c r="A95" s="0" t="n">
        <v>8</v>
      </c>
      <c r="B95" s="0" t="n">
        <v>7</v>
      </c>
      <c r="C95" s="7" t="n">
        <v>6281.43</v>
      </c>
      <c r="D95" s="7" t="n">
        <v>4583.87909463442</v>
      </c>
      <c r="E95" s="7" t="n">
        <v>1697.55090536558</v>
      </c>
      <c r="F95" s="7" t="n">
        <v>731723.104236142</v>
      </c>
    </row>
    <row r="96" customFormat="false" ht="15" hidden="false" customHeight="false" outlineLevel="0" collapsed="false">
      <c r="A96" s="0" t="n">
        <v>8</v>
      </c>
      <c r="B96" s="0" t="n">
        <v>8</v>
      </c>
      <c r="C96" s="7" t="n">
        <v>6281.43</v>
      </c>
      <c r="D96" s="7" t="n">
        <v>4573.26940147589</v>
      </c>
      <c r="E96" s="7" t="n">
        <v>1708.16059852412</v>
      </c>
      <c r="F96" s="7" t="n">
        <v>730014.943637618</v>
      </c>
    </row>
    <row r="97" customFormat="false" ht="15" hidden="false" customHeight="false" outlineLevel="0" collapsed="false">
      <c r="A97" s="0" t="n">
        <v>8</v>
      </c>
      <c r="B97" s="0" t="n">
        <v>9</v>
      </c>
      <c r="C97" s="7" t="n">
        <v>6281.43</v>
      </c>
      <c r="D97" s="7" t="n">
        <v>4562.59339773511</v>
      </c>
      <c r="E97" s="7" t="n">
        <v>1718.83660226489</v>
      </c>
      <c r="F97" s="7" t="n">
        <v>728296.107035353</v>
      </c>
    </row>
    <row r="98" customFormat="false" ht="15" hidden="false" customHeight="false" outlineLevel="0" collapsed="false">
      <c r="A98" s="0" t="n">
        <v>8</v>
      </c>
      <c r="B98" s="0" t="n">
        <v>10</v>
      </c>
      <c r="C98" s="7" t="n">
        <v>6281.43</v>
      </c>
      <c r="D98" s="7" t="n">
        <v>4551.85066897095</v>
      </c>
      <c r="E98" s="7" t="n">
        <v>1729.57933102905</v>
      </c>
      <c r="F98" s="7" t="n">
        <v>726566.527704324</v>
      </c>
    </row>
    <row r="99" customFormat="false" ht="15" hidden="false" customHeight="false" outlineLevel="0" collapsed="false">
      <c r="A99" s="0" t="n">
        <v>8</v>
      </c>
      <c r="B99" s="0" t="n">
        <v>11</v>
      </c>
      <c r="C99" s="7" t="n">
        <v>6281.43</v>
      </c>
      <c r="D99" s="7" t="n">
        <v>4541.04079815202</v>
      </c>
      <c r="E99" s="7" t="n">
        <v>1740.38920184798</v>
      </c>
      <c r="F99" s="7" t="n">
        <v>724826.138502476</v>
      </c>
    </row>
    <row r="100" customFormat="false" ht="15" hidden="false" customHeight="false" outlineLevel="0" collapsed="false">
      <c r="A100" s="0" t="n">
        <v>8</v>
      </c>
      <c r="B100" s="0" t="n">
        <v>12</v>
      </c>
      <c r="C100" s="7" t="n">
        <v>6281.43</v>
      </c>
      <c r="D100" s="7" t="n">
        <v>4530.16336564047</v>
      </c>
      <c r="E100" s="7" t="n">
        <v>1751.26663435953</v>
      </c>
      <c r="F100" s="7" t="n">
        <v>723074.871868116</v>
      </c>
    </row>
    <row r="101" customFormat="false" ht="15" hidden="false" customHeight="false" outlineLevel="0" collapsed="false">
      <c r="A101" s="0" t="n">
        <v>9</v>
      </c>
      <c r="B101" s="0" t="n">
        <v>1</v>
      </c>
      <c r="C101" s="7" t="n">
        <v>6281.43</v>
      </c>
      <c r="D101" s="7" t="n">
        <v>4519.21794917573</v>
      </c>
      <c r="E101" s="7" t="n">
        <v>1762.21205082427</v>
      </c>
      <c r="F101" s="7" t="n">
        <v>721312.659817292</v>
      </c>
    </row>
    <row r="102" customFormat="false" ht="15" hidden="false" customHeight="false" outlineLevel="0" collapsed="false">
      <c r="A102" s="0" t="n">
        <v>9</v>
      </c>
      <c r="B102" s="0" t="n">
        <v>2</v>
      </c>
      <c r="C102" s="7" t="n">
        <v>6281.43</v>
      </c>
      <c r="D102" s="7" t="n">
        <v>4508.20412385807</v>
      </c>
      <c r="E102" s="7" t="n">
        <v>1773.22587614193</v>
      </c>
      <c r="F102" s="7" t="n">
        <v>719539.43394115</v>
      </c>
    </row>
    <row r="103" customFormat="false" ht="15" hidden="false" customHeight="false" outlineLevel="0" collapsed="false">
      <c r="A103" s="0" t="n">
        <v>9</v>
      </c>
      <c r="B103" s="0" t="n">
        <v>3</v>
      </c>
      <c r="C103" s="7" t="n">
        <v>6281.43</v>
      </c>
      <c r="D103" s="7" t="n">
        <v>4497.12146213219</v>
      </c>
      <c r="E103" s="7" t="n">
        <v>1784.30853786781</v>
      </c>
      <c r="F103" s="7" t="n">
        <v>717755.125403282</v>
      </c>
    </row>
    <row r="104" customFormat="false" ht="15" hidden="false" customHeight="false" outlineLevel="0" collapsed="false">
      <c r="A104" s="0" t="n">
        <v>9</v>
      </c>
      <c r="B104" s="0" t="n">
        <v>4</v>
      </c>
      <c r="C104" s="7" t="n">
        <v>6281.43</v>
      </c>
      <c r="D104" s="7" t="n">
        <v>4485.96953377051</v>
      </c>
      <c r="E104" s="7" t="n">
        <v>1795.46046622949</v>
      </c>
      <c r="F104" s="7" t="n">
        <v>715959.664937053</v>
      </c>
    </row>
    <row r="105" customFormat="false" ht="15" hidden="false" customHeight="false" outlineLevel="0" collapsed="false">
      <c r="A105" s="0" t="n">
        <v>9</v>
      </c>
      <c r="B105" s="0" t="n">
        <v>5</v>
      </c>
      <c r="C105" s="7" t="n">
        <v>6281.43</v>
      </c>
      <c r="D105" s="7" t="n">
        <v>4474.74790585658</v>
      </c>
      <c r="E105" s="7" t="n">
        <v>1806.68209414342</v>
      </c>
      <c r="F105" s="7" t="n">
        <v>714152.982842909</v>
      </c>
    </row>
    <row r="106" customFormat="false" ht="15" hidden="false" customHeight="false" outlineLevel="0" collapsed="false">
      <c r="A106" s="0" t="n">
        <v>9</v>
      </c>
      <c r="B106" s="0" t="n">
        <v>6</v>
      </c>
      <c r="C106" s="7" t="n">
        <v>6281.43</v>
      </c>
      <c r="D106" s="7" t="n">
        <v>4463.45614276818</v>
      </c>
      <c r="E106" s="7" t="n">
        <v>1817.97385723182</v>
      </c>
      <c r="F106" s="7" t="n">
        <v>712335.008985677</v>
      </c>
    </row>
    <row r="107" customFormat="false" ht="15" hidden="false" customHeight="false" outlineLevel="0" collapsed="false">
      <c r="A107" s="0" t="n">
        <v>9</v>
      </c>
      <c r="B107" s="0" t="n">
        <v>7</v>
      </c>
      <c r="C107" s="7" t="n">
        <v>6281.43</v>
      </c>
      <c r="D107" s="7" t="n">
        <v>4452.09380616048</v>
      </c>
      <c r="E107" s="7" t="n">
        <v>1829.33619383952</v>
      </c>
      <c r="F107" s="7" t="n">
        <v>710505.672791838</v>
      </c>
    </row>
    <row r="108" customFormat="false" ht="15" hidden="false" customHeight="false" outlineLevel="0" collapsed="false">
      <c r="A108" s="0" t="n">
        <v>9</v>
      </c>
      <c r="B108" s="0" t="n">
        <v>8</v>
      </c>
      <c r="C108" s="7" t="n">
        <v>6281.43</v>
      </c>
      <c r="D108" s="7" t="n">
        <v>4440.66045494899</v>
      </c>
      <c r="E108" s="7" t="n">
        <v>1840.76954505102</v>
      </c>
      <c r="F108" s="7" t="n">
        <v>708664.903246787</v>
      </c>
    </row>
    <row r="109" customFormat="false" ht="15" hidden="false" customHeight="false" outlineLevel="0" collapsed="false">
      <c r="A109" s="0" t="n">
        <v>9</v>
      </c>
      <c r="B109" s="0" t="n">
        <v>9</v>
      </c>
      <c r="C109" s="7" t="n">
        <v>6281.43</v>
      </c>
      <c r="D109" s="7" t="n">
        <v>4429.15564529242</v>
      </c>
      <c r="E109" s="7" t="n">
        <v>1852.27435470758</v>
      </c>
      <c r="F109" s="7" t="n">
        <v>706812.628892079</v>
      </c>
    </row>
    <row r="110" customFormat="false" ht="15" hidden="false" customHeight="false" outlineLevel="0" collapsed="false">
      <c r="A110" s="0" t="n">
        <v>9</v>
      </c>
      <c r="B110" s="0" t="n">
        <v>10</v>
      </c>
      <c r="C110" s="7" t="n">
        <v>6281.43</v>
      </c>
      <c r="D110" s="7" t="n">
        <v>4417.5789305755</v>
      </c>
      <c r="E110" s="7" t="n">
        <v>1863.85106942451</v>
      </c>
      <c r="F110" s="7" t="n">
        <v>704948.777822655</v>
      </c>
    </row>
    <row r="111" customFormat="false" ht="15" hidden="false" customHeight="false" outlineLevel="0" collapsed="false">
      <c r="A111" s="0" t="n">
        <v>9</v>
      </c>
      <c r="B111" s="0" t="n">
        <v>11</v>
      </c>
      <c r="C111" s="7" t="n">
        <v>6281.43</v>
      </c>
      <c r="D111" s="7" t="n">
        <v>4405.92986139159</v>
      </c>
      <c r="E111" s="7" t="n">
        <v>1875.50013860841</v>
      </c>
      <c r="F111" s="7" t="n">
        <v>703073.277684046</v>
      </c>
    </row>
    <row r="112" customFormat="false" ht="15" hidden="false" customHeight="false" outlineLevel="0" collapsed="false">
      <c r="A112" s="0" t="n">
        <v>9</v>
      </c>
      <c r="B112" s="0" t="n">
        <v>12</v>
      </c>
      <c r="C112" s="7" t="n">
        <v>6281.43</v>
      </c>
      <c r="D112" s="7" t="n">
        <v>4394.20798552529</v>
      </c>
      <c r="E112" s="7" t="n">
        <v>1887.22201447471</v>
      </c>
      <c r="F112" s="7" t="n">
        <v>701186.055669572</v>
      </c>
    </row>
    <row r="113" customFormat="false" ht="15" hidden="false" customHeight="false" outlineLevel="0" collapsed="false">
      <c r="A113" s="0" t="n">
        <v>10</v>
      </c>
      <c r="B113" s="0" t="n">
        <v>1</v>
      </c>
      <c r="C113" s="7" t="n">
        <v>6281.43</v>
      </c>
      <c r="D113" s="7" t="n">
        <v>4382.41284793482</v>
      </c>
      <c r="E113" s="7" t="n">
        <v>1899.01715206518</v>
      </c>
      <c r="F113" s="7" t="n">
        <v>699287.038517506</v>
      </c>
    </row>
    <row r="114" customFormat="false" ht="15" hidden="false" customHeight="false" outlineLevel="0" collapsed="false">
      <c r="A114" s="0" t="n">
        <v>10</v>
      </c>
      <c r="B114" s="0" t="n">
        <v>2</v>
      </c>
      <c r="C114" s="7" t="n">
        <v>6281.43</v>
      </c>
      <c r="D114" s="7" t="n">
        <v>4370.54399073442</v>
      </c>
      <c r="E114" s="7" t="n">
        <v>1910.88600926559</v>
      </c>
      <c r="F114" s="7" t="n">
        <v>697376.152508241</v>
      </c>
    </row>
    <row r="115" customFormat="false" ht="15" hidden="false" customHeight="false" outlineLevel="0" collapsed="false">
      <c r="A115" s="0" t="n">
        <v>10</v>
      </c>
      <c r="B115" s="0" t="n">
        <v>3</v>
      </c>
      <c r="C115" s="7" t="n">
        <v>6281.43</v>
      </c>
      <c r="D115" s="7" t="n">
        <v>4358.60095317651</v>
      </c>
      <c r="E115" s="7" t="n">
        <v>1922.8290468235</v>
      </c>
      <c r="F115" s="7" t="n">
        <v>695453.323461417</v>
      </c>
    </row>
    <row r="116" customFormat="false" ht="15" hidden="false" customHeight="false" outlineLevel="0" collapsed="false">
      <c r="A116" s="0" t="n">
        <v>10</v>
      </c>
      <c r="B116" s="0" t="n">
        <v>4</v>
      </c>
      <c r="C116" s="7" t="n">
        <v>6281.43</v>
      </c>
      <c r="D116" s="7" t="n">
        <v>4346.58327163386</v>
      </c>
      <c r="E116" s="7" t="n">
        <v>1934.84672836614</v>
      </c>
      <c r="F116" s="7" t="n">
        <v>693518.476733051</v>
      </c>
    </row>
    <row r="117" customFormat="false" ht="15" hidden="false" customHeight="false" outlineLevel="0" collapsed="false">
      <c r="A117" s="0" t="n">
        <v>10</v>
      </c>
      <c r="B117" s="0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691571.537212633</v>
      </c>
    </row>
    <row r="118" customFormat="false" ht="15" hidden="false" customHeight="false" outlineLevel="0" collapsed="false">
      <c r="A118" s="0" t="n">
        <v>10</v>
      </c>
      <c r="B118" s="0" t="n">
        <v>6</v>
      </c>
      <c r="C118" s="7" t="n">
        <v>6281.43</v>
      </c>
      <c r="D118" s="7" t="n">
        <v>4322.32210757896</v>
      </c>
      <c r="E118" s="7" t="n">
        <v>1959.10789242105</v>
      </c>
      <c r="F118" s="7" t="n">
        <v>689612.429320212</v>
      </c>
    </row>
    <row r="119" customFormat="false" ht="15" hidden="false" customHeight="false" outlineLevel="0" collapsed="false">
      <c r="A119" s="0" t="n">
        <v>10</v>
      </c>
      <c r="B119" s="0" t="n">
        <v>7</v>
      </c>
      <c r="C119" s="7" t="n">
        <v>6281.43</v>
      </c>
      <c r="D119" s="7" t="n">
        <v>4310.07768325132</v>
      </c>
      <c r="E119" s="7" t="n">
        <v>1971.35231674868</v>
      </c>
      <c r="F119" s="7" t="n">
        <v>687641.077003463</v>
      </c>
    </row>
    <row r="120" customFormat="false" ht="15" hidden="false" customHeight="false" outlineLevel="0" collapsed="false">
      <c r="A120" s="0" t="n">
        <v>10</v>
      </c>
      <c r="B120" s="0" t="n">
        <v>8</v>
      </c>
      <c r="C120" s="7" t="n">
        <v>6281.43</v>
      </c>
      <c r="D120" s="7" t="n">
        <v>4297.75673127164</v>
      </c>
      <c r="E120" s="7" t="n">
        <v>1983.67326872836</v>
      </c>
      <c r="F120" s="7" t="n">
        <v>685657.403734735</v>
      </c>
    </row>
    <row r="121" customFormat="false" ht="15" hidden="false" customHeight="false" outlineLevel="0" collapsed="false">
      <c r="A121" s="0" t="n">
        <v>10</v>
      </c>
      <c r="B121" s="0" t="n">
        <v>9</v>
      </c>
      <c r="C121" s="7" t="n">
        <v>6281.43</v>
      </c>
      <c r="D121" s="7" t="n">
        <v>4285.35877334209</v>
      </c>
      <c r="E121" s="7" t="n">
        <v>1996.07122665791</v>
      </c>
      <c r="F121" s="7" t="n">
        <v>683661.332508077</v>
      </c>
    </row>
    <row r="122" customFormat="false" ht="15" hidden="false" customHeight="false" outlineLevel="0" collapsed="false">
      <c r="A122" s="0" t="n">
        <v>10</v>
      </c>
      <c r="B122" s="0" t="n">
        <v>10</v>
      </c>
      <c r="C122" s="7" t="n">
        <v>6281.43</v>
      </c>
      <c r="D122" s="7" t="n">
        <v>4272.88332817548</v>
      </c>
      <c r="E122" s="7" t="n">
        <v>2008.54667182452</v>
      </c>
      <c r="F122" s="7" t="n">
        <v>681652.785836252</v>
      </c>
    </row>
    <row r="123" customFormat="false" ht="15" hidden="false" customHeight="false" outlineLevel="0" collapsed="false">
      <c r="A123" s="0" t="n">
        <v>10</v>
      </c>
      <c r="B123" s="0" t="n">
        <v>11</v>
      </c>
      <c r="C123" s="7" t="n">
        <v>6281.43</v>
      </c>
      <c r="D123" s="7" t="n">
        <v>4260.32991147658</v>
      </c>
      <c r="E123" s="7" t="n">
        <v>2021.10008852342</v>
      </c>
      <c r="F123" s="7" t="n">
        <v>679631.685747729</v>
      </c>
    </row>
    <row r="124" customFormat="false" ht="15" hidden="false" customHeight="false" outlineLevel="0" collapsed="false">
      <c r="A124" s="0" t="n">
        <v>10</v>
      </c>
      <c r="B124" s="0" t="n">
        <v>12</v>
      </c>
      <c r="C124" s="7" t="n">
        <v>6281.43</v>
      </c>
      <c r="D124" s="7" t="n">
        <v>4247.69803592331</v>
      </c>
      <c r="E124" s="7" t="n">
        <v>2033.7319640767</v>
      </c>
      <c r="F124" s="7" t="n">
        <v>677597.953783652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4.93"/>
    <col collapsed="false" customWidth="true" hidden="false" outlineLevel="0" max="2" min="2" style="0" width="17.03"/>
  </cols>
  <sheetData>
    <row r="1" customFormat="false" ht="17.35" hidden="false" customHeight="false" outlineLevel="0" collapsed="false">
      <c r="A1" s="9" t="s">
        <v>228</v>
      </c>
    </row>
    <row r="3" customFormat="false" ht="15" hidden="false" customHeight="false" outlineLevel="0" collapsed="false">
      <c r="A3" s="4" t="s">
        <v>229</v>
      </c>
    </row>
    <row r="4" customFormat="false" ht="15" hidden="false" customHeight="false" outlineLevel="0" collapsed="false">
      <c r="A4" s="0" t="s">
        <v>230</v>
      </c>
      <c r="B4" s="5" t="n">
        <f aca="false">'Current Operations'!B25</f>
        <v>46644</v>
      </c>
    </row>
    <row r="5" customFormat="false" ht="15" hidden="false" customHeight="false" outlineLevel="0" collapsed="false">
      <c r="A5" s="0" t="s">
        <v>231</v>
      </c>
      <c r="B5" s="12" t="n">
        <v>0.12</v>
      </c>
    </row>
    <row r="6" customFormat="false" ht="15" hidden="false" customHeight="false" outlineLevel="0" collapsed="false">
      <c r="A6" s="0" t="s">
        <v>232</v>
      </c>
      <c r="B6" s="3" t="n">
        <f aca="false">B4/B5</f>
        <v>388700</v>
      </c>
    </row>
    <row r="8" customFormat="false" ht="15" hidden="false" customHeight="false" outlineLevel="0" collapsed="false">
      <c r="A8" s="4" t="s">
        <v>233</v>
      </c>
    </row>
    <row r="9" customFormat="false" ht="15" hidden="false" customHeight="false" outlineLevel="0" collapsed="false">
      <c r="A9" s="0" t="s">
        <v>24</v>
      </c>
      <c r="B9" s="5" t="n">
        <f aca="false">'Annual Summary'!D6</f>
        <v>546720</v>
      </c>
    </row>
    <row r="10" customFormat="false" ht="15" hidden="false" customHeight="false" outlineLevel="0" collapsed="false">
      <c r="A10" s="0" t="s">
        <v>231</v>
      </c>
      <c r="B10" s="12" t="n">
        <v>0.1</v>
      </c>
    </row>
    <row r="11" customFormat="false" ht="15" hidden="false" customHeight="false" outlineLevel="0" collapsed="false">
      <c r="A11" s="0" t="s">
        <v>234</v>
      </c>
      <c r="B11" s="3" t="n">
        <f aca="false">B9/B10</f>
        <v>5467200</v>
      </c>
    </row>
    <row r="13" customFormat="false" ht="15" hidden="false" customHeight="false" outlineLevel="0" collapsed="false">
      <c r="A13" s="4" t="s">
        <v>235</v>
      </c>
    </row>
    <row r="14" customFormat="false" ht="15" hidden="false" customHeight="false" outlineLevel="0" collapsed="false">
      <c r="A14" s="0" t="s">
        <v>236</v>
      </c>
      <c r="B14" s="5" t="n">
        <v>850000</v>
      </c>
    </row>
    <row r="15" customFormat="false" ht="15" hidden="false" customHeight="false" outlineLevel="0" collapsed="false">
      <c r="A15" s="0" t="s">
        <v>234</v>
      </c>
      <c r="B15" s="5" t="n">
        <f aca="false">B11</f>
        <v>5467200</v>
      </c>
    </row>
    <row r="16" customFormat="false" ht="15" hidden="false" customHeight="false" outlineLevel="0" collapsed="false">
      <c r="A16" s="0" t="s">
        <v>237</v>
      </c>
      <c r="B16" s="12" t="n">
        <f aca="false">B14/B15</f>
        <v>0.15547263681592</v>
      </c>
    </row>
    <row r="17" customFormat="false" ht="15" hidden="false" customHeight="false" outlineLevel="0" collapsed="false">
      <c r="A17" s="0" t="s">
        <v>238</v>
      </c>
      <c r="B17" s="5" t="n">
        <f aca="false">B15-B14</f>
        <v>4617200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13.48"/>
    <col collapsed="false" customWidth="true" hidden="false" outlineLevel="0" max="3" min="3" style="0" width="26.6"/>
    <col collapsed="false" customWidth="true" hidden="false" outlineLevel="0" max="5" min="5" style="0" width="13.85"/>
    <col collapsed="false" customWidth="true" hidden="false" outlineLevel="0" max="7" min="7" style="0" width="30.52"/>
  </cols>
  <sheetData>
    <row r="1" customFormat="false" ht="17.35" hidden="false" customHeight="false" outlineLevel="0" collapsed="false">
      <c r="A1" s="9" t="s">
        <v>239</v>
      </c>
    </row>
    <row r="3" customFormat="false" ht="15" hidden="false" customHeight="false" outlineLevel="0" collapsed="false">
      <c r="A3" s="4" t="s">
        <v>240</v>
      </c>
    </row>
    <row r="4" customFormat="false" ht="15" hidden="false" customHeight="false" outlineLevel="0" collapsed="false">
      <c r="A4" s="0" t="s">
        <v>241</v>
      </c>
      <c r="B4" s="0" t="n">
        <v>1</v>
      </c>
    </row>
    <row r="5" customFormat="false" ht="15" hidden="false" customHeight="false" outlineLevel="0" collapsed="false">
      <c r="A5" s="0" t="s">
        <v>242</v>
      </c>
      <c r="B5" s="7" t="n">
        <v>2.5</v>
      </c>
    </row>
    <row r="6" customFormat="false" ht="15" hidden="false" customHeight="false" outlineLevel="0" collapsed="false">
      <c r="A6" s="0" t="s">
        <v>243</v>
      </c>
      <c r="B6" s="7" t="n">
        <v>2</v>
      </c>
    </row>
    <row r="7" customFormat="false" ht="15" hidden="false" customHeight="false" outlineLevel="0" collapsed="false">
      <c r="A7" s="0" t="s">
        <v>244</v>
      </c>
      <c r="B7" s="10" t="n">
        <f aca="false">B5+B6</f>
        <v>4.5</v>
      </c>
    </row>
    <row r="9" customFormat="false" ht="15" hidden="false" customHeight="false" outlineLevel="0" collapsed="false">
      <c r="A9" s="4" t="s">
        <v>194</v>
      </c>
      <c r="B9" s="4" t="s">
        <v>223</v>
      </c>
      <c r="C9" s="4" t="s">
        <v>245</v>
      </c>
      <c r="D9" s="4" t="s">
        <v>246</v>
      </c>
      <c r="E9" s="4" t="s">
        <v>247</v>
      </c>
      <c r="F9" s="4" t="s">
        <v>248</v>
      </c>
      <c r="G9" s="4" t="s">
        <v>249</v>
      </c>
    </row>
    <row r="10" customFormat="false" ht="15" hidden="false" customHeight="false" outlineLevel="0" collapsed="false">
      <c r="A10" s="0" t="n">
        <v>1</v>
      </c>
      <c r="B10" s="0" t="n">
        <v>1</v>
      </c>
      <c r="C10" s="14" t="n">
        <v>24</v>
      </c>
      <c r="D10" s="15" t="n">
        <f aca="false">C11*$B$4</f>
        <v>24</v>
      </c>
      <c r="E10" s="16" t="n">
        <f aca="false">D10*4.3</f>
        <v>103.2</v>
      </c>
      <c r="F10" s="7" t="n">
        <f aca="false">$B$7</f>
        <v>4.5</v>
      </c>
      <c r="G10" s="5" t="n">
        <f aca="false">E10*F10</f>
        <v>464.4</v>
      </c>
    </row>
    <row r="11" customFormat="false" ht="15" hidden="false" customHeight="false" outlineLevel="0" collapsed="false">
      <c r="A11" s="0" t="n">
        <v>1</v>
      </c>
      <c r="B11" s="0" t="n">
        <v>2</v>
      </c>
      <c r="C11" s="14" t="n">
        <v>24</v>
      </c>
      <c r="D11" s="15" t="n">
        <f aca="false">C11*$B$4</f>
        <v>24</v>
      </c>
      <c r="E11" s="16" t="n">
        <f aca="false">D11*4.3</f>
        <v>103.2</v>
      </c>
      <c r="F11" s="7" t="n">
        <f aca="false">$B$7</f>
        <v>4.5</v>
      </c>
      <c r="G11" s="5" t="n">
        <f aca="false">E11*F11</f>
        <v>464.4</v>
      </c>
    </row>
    <row r="12" customFormat="false" ht="15" hidden="false" customHeight="false" outlineLevel="0" collapsed="false">
      <c r="A12" s="0" t="n">
        <v>1</v>
      </c>
      <c r="B12" s="0" t="n">
        <v>3</v>
      </c>
      <c r="C12" s="14" t="n">
        <v>31</v>
      </c>
      <c r="D12" s="15" t="n">
        <f aca="false">C12*$B$4</f>
        <v>31</v>
      </c>
      <c r="E12" s="16" t="n">
        <f aca="false">D12*4.3</f>
        <v>133.3</v>
      </c>
      <c r="F12" s="7" t="n">
        <f aca="false">$B$7</f>
        <v>4.5</v>
      </c>
      <c r="G12" s="5" t="n">
        <f aca="false">E12*F12</f>
        <v>599.85</v>
      </c>
    </row>
    <row r="13" customFormat="false" ht="15" hidden="false" customHeight="false" outlineLevel="0" collapsed="false">
      <c r="A13" s="0" t="n">
        <v>1</v>
      </c>
      <c r="B13" s="0" t="n">
        <v>4</v>
      </c>
      <c r="C13" s="14" t="n">
        <v>31</v>
      </c>
      <c r="D13" s="15" t="n">
        <f aca="false">C13*$B$4</f>
        <v>31</v>
      </c>
      <c r="E13" s="16" t="n">
        <f aca="false">D13*4.3</f>
        <v>133.3</v>
      </c>
      <c r="F13" s="7" t="n">
        <f aca="false">$B$7</f>
        <v>4.5</v>
      </c>
      <c r="G13" s="5" t="n">
        <f aca="false">E13*F13</f>
        <v>599.85</v>
      </c>
    </row>
    <row r="14" customFormat="false" ht="15" hidden="false" customHeight="false" outlineLevel="0" collapsed="false">
      <c r="A14" s="0" t="n">
        <v>1</v>
      </c>
      <c r="B14" s="0" t="n">
        <v>5</v>
      </c>
      <c r="C14" s="14" t="n">
        <v>31</v>
      </c>
      <c r="D14" s="15" t="n">
        <f aca="false">C14*$B$4</f>
        <v>31</v>
      </c>
      <c r="E14" s="16" t="n">
        <f aca="false">D14*4.3</f>
        <v>133.3</v>
      </c>
      <c r="F14" s="7" t="n">
        <f aca="false">$B$7</f>
        <v>4.5</v>
      </c>
      <c r="G14" s="5" t="n">
        <f aca="false">E14*F14</f>
        <v>599.85</v>
      </c>
    </row>
    <row r="15" customFormat="false" ht="15" hidden="false" customHeight="false" outlineLevel="0" collapsed="false">
      <c r="A15" s="0" t="n">
        <v>1</v>
      </c>
      <c r="B15" s="0" t="n">
        <v>6</v>
      </c>
      <c r="C15" s="14" t="n">
        <v>31</v>
      </c>
      <c r="D15" s="15" t="n">
        <f aca="false">C15*$B$4</f>
        <v>31</v>
      </c>
      <c r="E15" s="16" t="n">
        <f aca="false">D15*4.3</f>
        <v>133.3</v>
      </c>
      <c r="F15" s="7" t="n">
        <f aca="false">$B$7</f>
        <v>4.5</v>
      </c>
      <c r="G15" s="5" t="n">
        <f aca="false">E15*F15</f>
        <v>599.85</v>
      </c>
    </row>
    <row r="16" customFormat="false" ht="15" hidden="false" customHeight="false" outlineLevel="0" collapsed="false">
      <c r="A16" s="0" t="n">
        <v>1</v>
      </c>
      <c r="B16" s="0" t="n">
        <v>7</v>
      </c>
      <c r="C16" s="14" t="n">
        <v>45</v>
      </c>
      <c r="D16" s="15" t="n">
        <f aca="false">C16*$B$4</f>
        <v>45</v>
      </c>
      <c r="E16" s="16" t="n">
        <f aca="false">D16*4.3</f>
        <v>193.5</v>
      </c>
      <c r="F16" s="7" t="n">
        <f aca="false">$B$7</f>
        <v>4.5</v>
      </c>
      <c r="G16" s="5" t="n">
        <f aca="false">E16*F16</f>
        <v>870.75</v>
      </c>
    </row>
    <row r="17" customFormat="false" ht="15" hidden="false" customHeight="false" outlineLevel="0" collapsed="false">
      <c r="A17" s="0" t="n">
        <v>1</v>
      </c>
      <c r="B17" s="0" t="n">
        <v>8</v>
      </c>
      <c r="C17" s="14" t="n">
        <v>50</v>
      </c>
      <c r="D17" s="15" t="n">
        <f aca="false">C17*$B$4</f>
        <v>50</v>
      </c>
      <c r="E17" s="16" t="n">
        <f aca="false">D17*4.3</f>
        <v>215</v>
      </c>
      <c r="F17" s="7" t="n">
        <f aca="false">$B$7</f>
        <v>4.5</v>
      </c>
      <c r="G17" s="5" t="n">
        <f aca="false">E17*F17</f>
        <v>967.5</v>
      </c>
    </row>
    <row r="18" customFormat="false" ht="15" hidden="false" customHeight="false" outlineLevel="0" collapsed="false">
      <c r="A18" s="0" t="n">
        <v>1</v>
      </c>
      <c r="B18" s="0" t="n">
        <v>9</v>
      </c>
      <c r="C18" s="14" t="n">
        <v>60</v>
      </c>
      <c r="D18" s="15" t="n">
        <f aca="false">C18*$B$4</f>
        <v>60</v>
      </c>
      <c r="E18" s="16" t="n">
        <f aca="false">D18*4.3</f>
        <v>258</v>
      </c>
      <c r="F18" s="7" t="n">
        <f aca="false">$B$7</f>
        <v>4.5</v>
      </c>
      <c r="G18" s="5" t="n">
        <f aca="false">E18*F18</f>
        <v>1161</v>
      </c>
    </row>
    <row r="19" customFormat="false" ht="15" hidden="false" customHeight="false" outlineLevel="0" collapsed="false">
      <c r="A19" s="0" t="n">
        <v>1</v>
      </c>
      <c r="B19" s="0" t="n">
        <v>10</v>
      </c>
      <c r="C19" s="14" t="n">
        <v>60</v>
      </c>
      <c r="D19" s="15" t="n">
        <f aca="false">C19*$B$4</f>
        <v>60</v>
      </c>
      <c r="E19" s="16" t="n">
        <f aca="false">D19*4.3</f>
        <v>258</v>
      </c>
      <c r="F19" s="7" t="n">
        <f aca="false">$B$7</f>
        <v>4.5</v>
      </c>
      <c r="G19" s="5" t="n">
        <f aca="false">E19*F19</f>
        <v>1161</v>
      </c>
    </row>
    <row r="20" customFormat="false" ht="15" hidden="false" customHeight="false" outlineLevel="0" collapsed="false">
      <c r="A20" s="0" t="n">
        <v>1</v>
      </c>
      <c r="B20" s="0" t="n">
        <v>11</v>
      </c>
      <c r="C20" s="14" t="n">
        <v>60</v>
      </c>
      <c r="D20" s="15" t="n">
        <f aca="false">C20*$B$4</f>
        <v>60</v>
      </c>
      <c r="E20" s="16" t="n">
        <f aca="false">D20*4.3</f>
        <v>258</v>
      </c>
      <c r="F20" s="7" t="n">
        <f aca="false">$B$7</f>
        <v>4.5</v>
      </c>
      <c r="G20" s="5" t="n">
        <f aca="false">E20*F20</f>
        <v>1161</v>
      </c>
    </row>
    <row r="21" customFormat="false" ht="15" hidden="false" customHeight="false" outlineLevel="0" collapsed="false">
      <c r="A21" s="0" t="n">
        <v>1</v>
      </c>
      <c r="B21" s="0" t="n">
        <v>12</v>
      </c>
      <c r="C21" s="14" t="n">
        <v>60</v>
      </c>
      <c r="D21" s="15" t="n">
        <f aca="false">C21*$B$4</f>
        <v>60</v>
      </c>
      <c r="E21" s="16" t="n">
        <f aca="false">D21*4.3</f>
        <v>258</v>
      </c>
      <c r="F21" s="7" t="n">
        <f aca="false">$B$7</f>
        <v>4.5</v>
      </c>
      <c r="G21" s="5" t="n">
        <f aca="false">E21*F21</f>
        <v>1161</v>
      </c>
    </row>
    <row r="22" customFormat="false" ht="15" hidden="false" customHeight="false" outlineLevel="0" collapsed="false">
      <c r="A22" s="0" t="n">
        <v>2</v>
      </c>
      <c r="B22" s="0" t="n">
        <v>1</v>
      </c>
      <c r="C22" s="14" t="n">
        <v>60</v>
      </c>
      <c r="D22" s="15" t="n">
        <f aca="false">C22*$B$4</f>
        <v>60</v>
      </c>
      <c r="E22" s="16" t="n">
        <f aca="false">D22*4.3</f>
        <v>258</v>
      </c>
      <c r="F22" s="7" t="n">
        <f aca="false">$B$7</f>
        <v>4.5</v>
      </c>
      <c r="G22" s="5" t="n">
        <f aca="false">E22*F22</f>
        <v>1161</v>
      </c>
    </row>
    <row r="23" customFormat="false" ht="15" hidden="false" customHeight="false" outlineLevel="0" collapsed="false">
      <c r="A23" s="0" t="n">
        <v>2</v>
      </c>
      <c r="B23" s="0" t="n">
        <v>2</v>
      </c>
      <c r="C23" s="14" t="n">
        <v>60</v>
      </c>
      <c r="D23" s="15" t="n">
        <f aca="false">C23*$B$4</f>
        <v>60</v>
      </c>
      <c r="E23" s="16" t="n">
        <f aca="false">D23*4.3</f>
        <v>258</v>
      </c>
      <c r="F23" s="7" t="n">
        <f aca="false">$B$7</f>
        <v>4.5</v>
      </c>
      <c r="G23" s="5" t="n">
        <f aca="false">E23*F23</f>
        <v>1161</v>
      </c>
    </row>
    <row r="24" customFormat="false" ht="15" hidden="false" customHeight="false" outlineLevel="0" collapsed="false">
      <c r="A24" s="0" t="n">
        <v>2</v>
      </c>
      <c r="B24" s="0" t="n">
        <v>3</v>
      </c>
      <c r="C24" s="14" t="n">
        <v>60</v>
      </c>
      <c r="D24" s="15" t="n">
        <f aca="false">C24*$B$4</f>
        <v>60</v>
      </c>
      <c r="E24" s="16" t="n">
        <f aca="false">D24*4.3</f>
        <v>258</v>
      </c>
      <c r="F24" s="7" t="n">
        <f aca="false">$B$7</f>
        <v>4.5</v>
      </c>
      <c r="G24" s="5" t="n">
        <f aca="false">E24*F24</f>
        <v>1161</v>
      </c>
    </row>
    <row r="25" customFormat="false" ht="15" hidden="false" customHeight="false" outlineLevel="0" collapsed="false">
      <c r="A25" s="0" t="n">
        <v>2</v>
      </c>
      <c r="B25" s="0" t="n">
        <v>4</v>
      </c>
      <c r="C25" s="14" t="n">
        <v>60</v>
      </c>
      <c r="D25" s="15" t="n">
        <f aca="false">C25*$B$4</f>
        <v>60</v>
      </c>
      <c r="E25" s="16" t="n">
        <f aca="false">D25*4.3</f>
        <v>258</v>
      </c>
      <c r="F25" s="7" t="n">
        <f aca="false">$B$7</f>
        <v>4.5</v>
      </c>
      <c r="G25" s="5" t="n">
        <f aca="false">E25*F25</f>
        <v>1161</v>
      </c>
    </row>
    <row r="26" customFormat="false" ht="15" hidden="false" customHeight="false" outlineLevel="0" collapsed="false">
      <c r="A26" s="0" t="n">
        <v>2</v>
      </c>
      <c r="B26" s="0" t="n">
        <v>5</v>
      </c>
      <c r="C26" s="14" t="n">
        <v>60</v>
      </c>
      <c r="D26" s="15" t="n">
        <f aca="false">C26*$B$4</f>
        <v>60</v>
      </c>
      <c r="E26" s="16" t="n">
        <f aca="false">D26*4.3</f>
        <v>258</v>
      </c>
      <c r="F26" s="7" t="n">
        <f aca="false">$B$7</f>
        <v>4.5</v>
      </c>
      <c r="G26" s="5" t="n">
        <f aca="false">E26*F26</f>
        <v>1161</v>
      </c>
    </row>
    <row r="27" customFormat="false" ht="15" hidden="false" customHeight="false" outlineLevel="0" collapsed="false">
      <c r="A27" s="0" t="n">
        <v>2</v>
      </c>
      <c r="B27" s="0" t="n">
        <v>6</v>
      </c>
      <c r="C27" s="14" t="n">
        <v>60</v>
      </c>
      <c r="D27" s="15" t="n">
        <f aca="false">C27*$B$4</f>
        <v>60</v>
      </c>
      <c r="E27" s="16" t="n">
        <f aca="false">D27*4.3</f>
        <v>258</v>
      </c>
      <c r="F27" s="7" t="n">
        <f aca="false">$B$7</f>
        <v>4.5</v>
      </c>
      <c r="G27" s="5" t="n">
        <f aca="false">E27*F27</f>
        <v>1161</v>
      </c>
    </row>
    <row r="28" customFormat="false" ht="15" hidden="false" customHeight="false" outlineLevel="0" collapsed="false">
      <c r="A28" s="0" t="n">
        <v>2</v>
      </c>
      <c r="B28" s="0" t="n">
        <v>7</v>
      </c>
      <c r="C28" s="14" t="n">
        <v>60</v>
      </c>
      <c r="D28" s="15" t="n">
        <f aca="false">C28*$B$4</f>
        <v>60</v>
      </c>
      <c r="E28" s="16" t="n">
        <f aca="false">D28*4.3</f>
        <v>258</v>
      </c>
      <c r="F28" s="7" t="n">
        <f aca="false">$B$7</f>
        <v>4.5</v>
      </c>
      <c r="G28" s="5" t="n">
        <f aca="false">E28*F28</f>
        <v>1161</v>
      </c>
    </row>
    <row r="29" customFormat="false" ht="15" hidden="false" customHeight="false" outlineLevel="0" collapsed="false">
      <c r="A29" s="0" t="n">
        <v>2</v>
      </c>
      <c r="B29" s="0" t="n">
        <v>8</v>
      </c>
      <c r="C29" s="14" t="n">
        <v>60</v>
      </c>
      <c r="D29" s="15" t="n">
        <f aca="false">C29*$B$4</f>
        <v>60</v>
      </c>
      <c r="E29" s="16" t="n">
        <f aca="false">D29*4.3</f>
        <v>258</v>
      </c>
      <c r="F29" s="7" t="n">
        <f aca="false">$B$7</f>
        <v>4.5</v>
      </c>
      <c r="G29" s="5" t="n">
        <f aca="false">E29*F29</f>
        <v>1161</v>
      </c>
    </row>
    <row r="30" customFormat="false" ht="15" hidden="false" customHeight="false" outlineLevel="0" collapsed="false">
      <c r="A30" s="0" t="n">
        <v>2</v>
      </c>
      <c r="B30" s="0" t="n">
        <v>9</v>
      </c>
      <c r="C30" s="14" t="n">
        <v>60</v>
      </c>
      <c r="D30" s="15" t="n">
        <f aca="false">C30*$B$4</f>
        <v>60</v>
      </c>
      <c r="E30" s="16" t="n">
        <f aca="false">D30*4.3</f>
        <v>258</v>
      </c>
      <c r="F30" s="7" t="n">
        <f aca="false">$B$7</f>
        <v>4.5</v>
      </c>
      <c r="G30" s="5" t="n">
        <f aca="false">E30*F30</f>
        <v>1161</v>
      </c>
    </row>
    <row r="31" customFormat="false" ht="15" hidden="false" customHeight="false" outlineLevel="0" collapsed="false">
      <c r="A31" s="0" t="n">
        <v>2</v>
      </c>
      <c r="B31" s="0" t="n">
        <v>10</v>
      </c>
      <c r="C31" s="14" t="n">
        <v>60</v>
      </c>
      <c r="D31" s="15" t="n">
        <f aca="false">C31*$B$4</f>
        <v>60</v>
      </c>
      <c r="E31" s="16" t="n">
        <f aca="false">D31*4.3</f>
        <v>258</v>
      </c>
      <c r="F31" s="7" t="n">
        <f aca="false">$B$7</f>
        <v>4.5</v>
      </c>
      <c r="G31" s="5" t="n">
        <f aca="false">E31*F31</f>
        <v>1161</v>
      </c>
    </row>
    <row r="32" customFormat="false" ht="15" hidden="false" customHeight="false" outlineLevel="0" collapsed="false">
      <c r="A32" s="0" t="n">
        <v>2</v>
      </c>
      <c r="B32" s="0" t="n">
        <v>11</v>
      </c>
      <c r="C32" s="14" t="n">
        <v>60</v>
      </c>
      <c r="D32" s="15" t="n">
        <f aca="false">C32*$B$4</f>
        <v>60</v>
      </c>
      <c r="E32" s="16" t="n">
        <f aca="false">D32*4.3</f>
        <v>258</v>
      </c>
      <c r="F32" s="7" t="n">
        <f aca="false">$B$7</f>
        <v>4.5</v>
      </c>
      <c r="G32" s="5" t="n">
        <f aca="false">E32*F32</f>
        <v>1161</v>
      </c>
    </row>
    <row r="33" customFormat="false" ht="15" hidden="false" customHeight="false" outlineLevel="0" collapsed="false">
      <c r="A33" s="0" t="n">
        <v>2</v>
      </c>
      <c r="B33" s="0" t="n">
        <v>12</v>
      </c>
      <c r="C33" s="14" t="n">
        <v>60</v>
      </c>
      <c r="D33" s="15" t="n">
        <f aca="false">C33*$B$4</f>
        <v>60</v>
      </c>
      <c r="E33" s="16" t="n">
        <f aca="false">D33*4.3</f>
        <v>258</v>
      </c>
      <c r="F33" s="7" t="n">
        <f aca="false">$B$7</f>
        <v>4.5</v>
      </c>
      <c r="G33" s="5" t="n">
        <f aca="false">E33*F33</f>
        <v>1161</v>
      </c>
    </row>
    <row r="34" customFormat="false" ht="15" hidden="false" customHeight="false" outlineLevel="0" collapsed="false">
      <c r="A34" s="0" t="n">
        <v>3</v>
      </c>
      <c r="B34" s="0" t="n">
        <v>1</v>
      </c>
      <c r="C34" s="14" t="n">
        <v>60</v>
      </c>
      <c r="D34" s="15" t="n">
        <f aca="false">C34*$B$4</f>
        <v>60</v>
      </c>
      <c r="E34" s="16" t="n">
        <f aca="false">D34*4.3</f>
        <v>258</v>
      </c>
      <c r="F34" s="7" t="n">
        <f aca="false">$B$7</f>
        <v>4.5</v>
      </c>
      <c r="G34" s="5" t="n">
        <f aca="false">E34*F34</f>
        <v>1161</v>
      </c>
    </row>
    <row r="35" customFormat="false" ht="15" hidden="false" customHeight="false" outlineLevel="0" collapsed="false">
      <c r="A35" s="0" t="n">
        <v>3</v>
      </c>
      <c r="B35" s="0" t="n">
        <v>2</v>
      </c>
      <c r="C35" s="14" t="n">
        <v>60</v>
      </c>
      <c r="D35" s="15" t="n">
        <f aca="false">C35*$B$4</f>
        <v>60</v>
      </c>
      <c r="E35" s="16" t="n">
        <f aca="false">D35*4.3</f>
        <v>258</v>
      </c>
      <c r="F35" s="7" t="n">
        <f aca="false">$B$7</f>
        <v>4.5</v>
      </c>
      <c r="G35" s="5" t="n">
        <f aca="false">E35*F35</f>
        <v>1161</v>
      </c>
    </row>
    <row r="36" customFormat="false" ht="15" hidden="false" customHeight="false" outlineLevel="0" collapsed="false">
      <c r="A36" s="0" t="n">
        <v>3</v>
      </c>
      <c r="B36" s="0" t="n">
        <v>3</v>
      </c>
      <c r="C36" s="14" t="n">
        <v>60</v>
      </c>
      <c r="D36" s="15" t="n">
        <f aca="false">C36*$B$4</f>
        <v>60</v>
      </c>
      <c r="E36" s="16" t="n">
        <f aca="false">D36*4.3</f>
        <v>258</v>
      </c>
      <c r="F36" s="7" t="n">
        <f aca="false">$B$7</f>
        <v>4.5</v>
      </c>
      <c r="G36" s="5" t="n">
        <f aca="false">E36*F36</f>
        <v>1161</v>
      </c>
    </row>
    <row r="37" customFormat="false" ht="15" hidden="false" customHeight="false" outlineLevel="0" collapsed="false">
      <c r="A37" s="0" t="n">
        <v>3</v>
      </c>
      <c r="B37" s="0" t="n">
        <v>4</v>
      </c>
      <c r="C37" s="14" t="n">
        <v>60</v>
      </c>
      <c r="D37" s="15" t="n">
        <f aca="false">C37*$B$4</f>
        <v>60</v>
      </c>
      <c r="E37" s="16" t="n">
        <f aca="false">D37*4.3</f>
        <v>258</v>
      </c>
      <c r="F37" s="7" t="n">
        <f aca="false">$B$7</f>
        <v>4.5</v>
      </c>
      <c r="G37" s="5" t="n">
        <f aca="false">E37*F37</f>
        <v>1161</v>
      </c>
    </row>
    <row r="38" customFormat="false" ht="15" hidden="false" customHeight="false" outlineLevel="0" collapsed="false">
      <c r="A38" s="0" t="n">
        <v>3</v>
      </c>
      <c r="B38" s="0" t="n">
        <v>5</v>
      </c>
      <c r="C38" s="14" t="n">
        <v>60</v>
      </c>
      <c r="D38" s="15" t="n">
        <f aca="false">C38*$B$4</f>
        <v>60</v>
      </c>
      <c r="E38" s="16" t="n">
        <f aca="false">D38*4.3</f>
        <v>258</v>
      </c>
      <c r="F38" s="7" t="n">
        <f aca="false">$B$7</f>
        <v>4.5</v>
      </c>
      <c r="G38" s="5" t="n">
        <f aca="false">E38*F38</f>
        <v>1161</v>
      </c>
    </row>
    <row r="39" customFormat="false" ht="15" hidden="false" customHeight="false" outlineLevel="0" collapsed="false">
      <c r="A39" s="0" t="n">
        <v>3</v>
      </c>
      <c r="B39" s="0" t="n">
        <v>6</v>
      </c>
      <c r="C39" s="14" t="n">
        <v>60</v>
      </c>
      <c r="D39" s="15" t="n">
        <f aca="false">C39*$B$4</f>
        <v>60</v>
      </c>
      <c r="E39" s="16" t="n">
        <f aca="false">D39*4.3</f>
        <v>258</v>
      </c>
      <c r="F39" s="7" t="n">
        <f aca="false">$B$7</f>
        <v>4.5</v>
      </c>
      <c r="G39" s="5" t="n">
        <f aca="false">E39*F39</f>
        <v>1161</v>
      </c>
    </row>
    <row r="40" customFormat="false" ht="15" hidden="false" customHeight="false" outlineLevel="0" collapsed="false">
      <c r="A40" s="0" t="n">
        <v>3</v>
      </c>
      <c r="B40" s="0" t="n">
        <v>7</v>
      </c>
      <c r="C40" s="14" t="n">
        <v>60</v>
      </c>
      <c r="D40" s="15" t="n">
        <f aca="false">C40*$B$4</f>
        <v>60</v>
      </c>
      <c r="E40" s="16" t="n">
        <f aca="false">D40*4.3</f>
        <v>258</v>
      </c>
      <c r="F40" s="7" t="n">
        <f aca="false">$B$7</f>
        <v>4.5</v>
      </c>
      <c r="G40" s="5" t="n">
        <f aca="false">E40*F40</f>
        <v>1161</v>
      </c>
    </row>
    <row r="41" customFormat="false" ht="15" hidden="false" customHeight="false" outlineLevel="0" collapsed="false">
      <c r="A41" s="0" t="n">
        <v>3</v>
      </c>
      <c r="B41" s="0" t="n">
        <v>8</v>
      </c>
      <c r="C41" s="14" t="n">
        <v>60</v>
      </c>
      <c r="D41" s="15" t="n">
        <f aca="false">C41*$B$4</f>
        <v>60</v>
      </c>
      <c r="E41" s="16" t="n">
        <f aca="false">D41*4.3</f>
        <v>258</v>
      </c>
      <c r="F41" s="7" t="n">
        <f aca="false">$B$7</f>
        <v>4.5</v>
      </c>
      <c r="G41" s="5" t="n">
        <f aca="false">E41*F41</f>
        <v>1161</v>
      </c>
    </row>
    <row r="42" customFormat="false" ht="15" hidden="false" customHeight="false" outlineLevel="0" collapsed="false">
      <c r="A42" s="0" t="n">
        <v>3</v>
      </c>
      <c r="B42" s="0" t="n">
        <v>9</v>
      </c>
      <c r="C42" s="14" t="n">
        <v>60</v>
      </c>
      <c r="D42" s="15" t="n">
        <f aca="false">C42*$B$4</f>
        <v>60</v>
      </c>
      <c r="E42" s="16" t="n">
        <f aca="false">D42*4.3</f>
        <v>258</v>
      </c>
      <c r="F42" s="7" t="n">
        <f aca="false">$B$7</f>
        <v>4.5</v>
      </c>
      <c r="G42" s="5" t="n">
        <f aca="false">E42*F42</f>
        <v>1161</v>
      </c>
    </row>
    <row r="43" customFormat="false" ht="15" hidden="false" customHeight="false" outlineLevel="0" collapsed="false">
      <c r="A43" s="0" t="n">
        <v>3</v>
      </c>
      <c r="B43" s="0" t="n">
        <v>10</v>
      </c>
      <c r="C43" s="14" t="n">
        <v>60</v>
      </c>
      <c r="D43" s="15" t="n">
        <f aca="false">C43*$B$4</f>
        <v>60</v>
      </c>
      <c r="E43" s="16" t="n">
        <f aca="false">D43*4.3</f>
        <v>258</v>
      </c>
      <c r="F43" s="7" t="n">
        <f aca="false">$B$7</f>
        <v>4.5</v>
      </c>
      <c r="G43" s="5" t="n">
        <f aca="false">E43*F43</f>
        <v>1161</v>
      </c>
    </row>
    <row r="44" customFormat="false" ht="15" hidden="false" customHeight="false" outlineLevel="0" collapsed="false">
      <c r="A44" s="0" t="n">
        <v>3</v>
      </c>
      <c r="B44" s="0" t="n">
        <v>11</v>
      </c>
      <c r="C44" s="14" t="n">
        <v>60</v>
      </c>
      <c r="D44" s="15" t="n">
        <f aca="false">C44*$B$4</f>
        <v>60</v>
      </c>
      <c r="E44" s="16" t="n">
        <f aca="false">D44*4.3</f>
        <v>258</v>
      </c>
      <c r="F44" s="7" t="n">
        <f aca="false">$B$7</f>
        <v>4.5</v>
      </c>
      <c r="G44" s="5" t="n">
        <f aca="false">E44*F44</f>
        <v>1161</v>
      </c>
    </row>
    <row r="45" customFormat="false" ht="15" hidden="false" customHeight="false" outlineLevel="0" collapsed="false">
      <c r="A45" s="0" t="n">
        <v>3</v>
      </c>
      <c r="B45" s="0" t="n">
        <v>12</v>
      </c>
      <c r="C45" s="14" t="n">
        <v>60</v>
      </c>
      <c r="D45" s="15" t="n">
        <f aca="false">C45*$B$4</f>
        <v>60</v>
      </c>
      <c r="E45" s="16" t="n">
        <f aca="false">D45*4.3</f>
        <v>258</v>
      </c>
      <c r="F45" s="7" t="n">
        <f aca="false">$B$7</f>
        <v>4.5</v>
      </c>
      <c r="G45" s="5" t="n">
        <f aca="false">E45*F45</f>
        <v>1161</v>
      </c>
    </row>
    <row r="46" customFormat="false" ht="15" hidden="false" customHeight="false" outlineLevel="0" collapsed="false">
      <c r="A46" s="0" t="n">
        <v>4</v>
      </c>
      <c r="B46" s="0" t="n">
        <v>1</v>
      </c>
      <c r="C46" s="14" t="n">
        <v>60</v>
      </c>
      <c r="D46" s="15" t="n">
        <f aca="false">C46*$B$4</f>
        <v>60</v>
      </c>
      <c r="E46" s="16" t="n">
        <f aca="false">D46*4.3</f>
        <v>258</v>
      </c>
      <c r="F46" s="7" t="n">
        <f aca="false">$B$7</f>
        <v>4.5</v>
      </c>
      <c r="G46" s="5" t="n">
        <f aca="false">E46*F46</f>
        <v>1161</v>
      </c>
    </row>
    <row r="47" customFormat="false" ht="15" hidden="false" customHeight="false" outlineLevel="0" collapsed="false">
      <c r="A47" s="0" t="n">
        <v>4</v>
      </c>
      <c r="B47" s="0" t="n">
        <v>2</v>
      </c>
      <c r="C47" s="14" t="n">
        <v>60</v>
      </c>
      <c r="D47" s="15" t="n">
        <f aca="false">C47*$B$4</f>
        <v>60</v>
      </c>
      <c r="E47" s="16" t="n">
        <f aca="false">D47*4.3</f>
        <v>258</v>
      </c>
      <c r="F47" s="7" t="n">
        <f aca="false">$B$7</f>
        <v>4.5</v>
      </c>
      <c r="G47" s="5" t="n">
        <f aca="false">E47*F47</f>
        <v>1161</v>
      </c>
    </row>
    <row r="48" customFormat="false" ht="15" hidden="false" customHeight="false" outlineLevel="0" collapsed="false">
      <c r="A48" s="0" t="n">
        <v>4</v>
      </c>
      <c r="B48" s="0" t="n">
        <v>3</v>
      </c>
      <c r="C48" s="14" t="n">
        <v>60</v>
      </c>
      <c r="D48" s="15" t="n">
        <f aca="false">C48*$B$4</f>
        <v>60</v>
      </c>
      <c r="E48" s="16" t="n">
        <f aca="false">D48*4.3</f>
        <v>258</v>
      </c>
      <c r="F48" s="7" t="n">
        <f aca="false">$B$7</f>
        <v>4.5</v>
      </c>
      <c r="G48" s="5" t="n">
        <f aca="false">E48*F48</f>
        <v>1161</v>
      </c>
    </row>
    <row r="49" customFormat="false" ht="15" hidden="false" customHeight="false" outlineLevel="0" collapsed="false">
      <c r="A49" s="0" t="n">
        <v>4</v>
      </c>
      <c r="B49" s="0" t="n">
        <v>4</v>
      </c>
      <c r="C49" s="14" t="n">
        <v>60</v>
      </c>
      <c r="D49" s="15" t="n">
        <f aca="false">C49*$B$4</f>
        <v>60</v>
      </c>
      <c r="E49" s="16" t="n">
        <f aca="false">D49*4.3</f>
        <v>258</v>
      </c>
      <c r="F49" s="7" t="n">
        <f aca="false">$B$7</f>
        <v>4.5</v>
      </c>
      <c r="G49" s="5" t="n">
        <f aca="false">E49*F49</f>
        <v>1161</v>
      </c>
    </row>
    <row r="50" customFormat="false" ht="15" hidden="false" customHeight="false" outlineLevel="0" collapsed="false">
      <c r="A50" s="0" t="n">
        <v>4</v>
      </c>
      <c r="B50" s="0" t="n">
        <v>5</v>
      </c>
      <c r="C50" s="14" t="n">
        <v>60</v>
      </c>
      <c r="D50" s="15" t="n">
        <f aca="false">C50*$B$4</f>
        <v>60</v>
      </c>
      <c r="E50" s="16" t="n">
        <f aca="false">D50*4.3</f>
        <v>258</v>
      </c>
      <c r="F50" s="7" t="n">
        <f aca="false">$B$7</f>
        <v>4.5</v>
      </c>
      <c r="G50" s="5" t="n">
        <f aca="false">E50*F50</f>
        <v>1161</v>
      </c>
    </row>
    <row r="51" customFormat="false" ht="15" hidden="false" customHeight="false" outlineLevel="0" collapsed="false">
      <c r="A51" s="0" t="n">
        <v>4</v>
      </c>
      <c r="B51" s="0" t="n">
        <v>6</v>
      </c>
      <c r="C51" s="14" t="n">
        <v>60</v>
      </c>
      <c r="D51" s="15" t="n">
        <f aca="false">C51*$B$4</f>
        <v>60</v>
      </c>
      <c r="E51" s="16" t="n">
        <f aca="false">D51*4.3</f>
        <v>258</v>
      </c>
      <c r="F51" s="7" t="n">
        <f aca="false">$B$7</f>
        <v>4.5</v>
      </c>
      <c r="G51" s="5" t="n">
        <f aca="false">E51*F51</f>
        <v>1161</v>
      </c>
    </row>
    <row r="52" customFormat="false" ht="15" hidden="false" customHeight="false" outlineLevel="0" collapsed="false">
      <c r="A52" s="0" t="n">
        <v>4</v>
      </c>
      <c r="B52" s="0" t="n">
        <v>7</v>
      </c>
      <c r="C52" s="14" t="n">
        <v>60</v>
      </c>
      <c r="D52" s="15" t="n">
        <f aca="false">C52*$B$4</f>
        <v>60</v>
      </c>
      <c r="E52" s="16" t="n">
        <f aca="false">D52*4.3</f>
        <v>258</v>
      </c>
      <c r="F52" s="7" t="n">
        <f aca="false">$B$7</f>
        <v>4.5</v>
      </c>
      <c r="G52" s="5" t="n">
        <f aca="false">E52*F52</f>
        <v>1161</v>
      </c>
    </row>
    <row r="53" customFormat="false" ht="15" hidden="false" customHeight="false" outlineLevel="0" collapsed="false">
      <c r="A53" s="0" t="n">
        <v>4</v>
      </c>
      <c r="B53" s="0" t="n">
        <v>8</v>
      </c>
      <c r="C53" s="14" t="n">
        <v>60</v>
      </c>
      <c r="D53" s="15" t="n">
        <f aca="false">C53*$B$4</f>
        <v>60</v>
      </c>
      <c r="E53" s="16" t="n">
        <f aca="false">D53*4.3</f>
        <v>258</v>
      </c>
      <c r="F53" s="7" t="n">
        <f aca="false">$B$7</f>
        <v>4.5</v>
      </c>
      <c r="G53" s="5" t="n">
        <f aca="false">E53*F53</f>
        <v>1161</v>
      </c>
    </row>
    <row r="54" customFormat="false" ht="15" hidden="false" customHeight="false" outlineLevel="0" collapsed="false">
      <c r="A54" s="0" t="n">
        <v>4</v>
      </c>
      <c r="B54" s="0" t="n">
        <v>9</v>
      </c>
      <c r="C54" s="14" t="n">
        <v>60</v>
      </c>
      <c r="D54" s="15" t="n">
        <f aca="false">C54*$B$4</f>
        <v>60</v>
      </c>
      <c r="E54" s="16" t="n">
        <f aca="false">D54*4.3</f>
        <v>258</v>
      </c>
      <c r="F54" s="7" t="n">
        <f aca="false">$B$7</f>
        <v>4.5</v>
      </c>
      <c r="G54" s="5" t="n">
        <f aca="false">E54*F54</f>
        <v>1161</v>
      </c>
    </row>
    <row r="55" customFormat="false" ht="15" hidden="false" customHeight="false" outlineLevel="0" collapsed="false">
      <c r="A55" s="0" t="n">
        <v>4</v>
      </c>
      <c r="B55" s="0" t="n">
        <v>10</v>
      </c>
      <c r="C55" s="14" t="n">
        <v>60</v>
      </c>
      <c r="D55" s="15" t="n">
        <f aca="false">C55*$B$4</f>
        <v>60</v>
      </c>
      <c r="E55" s="16" t="n">
        <f aca="false">D55*4.3</f>
        <v>258</v>
      </c>
      <c r="F55" s="7" t="n">
        <f aca="false">$B$7</f>
        <v>4.5</v>
      </c>
      <c r="G55" s="5" t="n">
        <f aca="false">E55*F55</f>
        <v>1161</v>
      </c>
    </row>
    <row r="56" customFormat="false" ht="15" hidden="false" customHeight="false" outlineLevel="0" collapsed="false">
      <c r="A56" s="0" t="n">
        <v>4</v>
      </c>
      <c r="B56" s="0" t="n">
        <v>11</v>
      </c>
      <c r="C56" s="14" t="n">
        <v>60</v>
      </c>
      <c r="D56" s="15" t="n">
        <f aca="false">C56*$B$4</f>
        <v>60</v>
      </c>
      <c r="E56" s="16" t="n">
        <f aca="false">D56*4.3</f>
        <v>258</v>
      </c>
      <c r="F56" s="7" t="n">
        <f aca="false">$B$7</f>
        <v>4.5</v>
      </c>
      <c r="G56" s="5" t="n">
        <f aca="false">E56*F56</f>
        <v>1161</v>
      </c>
    </row>
    <row r="57" customFormat="false" ht="15" hidden="false" customHeight="false" outlineLevel="0" collapsed="false">
      <c r="A57" s="0" t="n">
        <v>4</v>
      </c>
      <c r="B57" s="0" t="n">
        <v>12</v>
      </c>
      <c r="C57" s="14" t="n">
        <v>60</v>
      </c>
      <c r="D57" s="15" t="n">
        <f aca="false">C57*$B$4</f>
        <v>60</v>
      </c>
      <c r="E57" s="16" t="n">
        <f aca="false">D57*4.3</f>
        <v>258</v>
      </c>
      <c r="F57" s="7" t="n">
        <f aca="false">$B$7</f>
        <v>4.5</v>
      </c>
      <c r="G57" s="5" t="n">
        <f aca="false">E57*F57</f>
        <v>1161</v>
      </c>
    </row>
    <row r="58" customFormat="false" ht="15" hidden="false" customHeight="false" outlineLevel="0" collapsed="false">
      <c r="A58" s="0" t="n">
        <v>5</v>
      </c>
      <c r="B58" s="0" t="n">
        <v>1</v>
      </c>
      <c r="C58" s="14" t="n">
        <v>60</v>
      </c>
      <c r="D58" s="15" t="n">
        <f aca="false">C58*$B$4</f>
        <v>60</v>
      </c>
      <c r="E58" s="16" t="n">
        <f aca="false">D58*4.3</f>
        <v>258</v>
      </c>
      <c r="F58" s="7" t="n">
        <f aca="false">$B$7</f>
        <v>4.5</v>
      </c>
      <c r="G58" s="5" t="n">
        <f aca="false">E58*F58</f>
        <v>1161</v>
      </c>
    </row>
    <row r="59" customFormat="false" ht="15" hidden="false" customHeight="false" outlineLevel="0" collapsed="false">
      <c r="A59" s="0" t="n">
        <v>5</v>
      </c>
      <c r="B59" s="0" t="n">
        <v>2</v>
      </c>
      <c r="C59" s="14" t="n">
        <v>60</v>
      </c>
      <c r="D59" s="15" t="n">
        <f aca="false">C59*$B$4</f>
        <v>60</v>
      </c>
      <c r="E59" s="16" t="n">
        <f aca="false">D59*4.3</f>
        <v>258</v>
      </c>
      <c r="F59" s="7" t="n">
        <f aca="false">$B$7</f>
        <v>4.5</v>
      </c>
      <c r="G59" s="5" t="n">
        <f aca="false">E59*F59</f>
        <v>1161</v>
      </c>
    </row>
    <row r="60" customFormat="false" ht="15" hidden="false" customHeight="false" outlineLevel="0" collapsed="false">
      <c r="A60" s="0" t="n">
        <v>5</v>
      </c>
      <c r="B60" s="0" t="n">
        <v>3</v>
      </c>
      <c r="C60" s="14" t="n">
        <v>60</v>
      </c>
      <c r="D60" s="15" t="n">
        <f aca="false">C60*$B$4</f>
        <v>60</v>
      </c>
      <c r="E60" s="16" t="n">
        <f aca="false">D60*4.3</f>
        <v>258</v>
      </c>
      <c r="F60" s="7" t="n">
        <f aca="false">$B$7</f>
        <v>4.5</v>
      </c>
      <c r="G60" s="5" t="n">
        <f aca="false">E60*F60</f>
        <v>1161</v>
      </c>
    </row>
    <row r="61" customFormat="false" ht="15" hidden="false" customHeight="false" outlineLevel="0" collapsed="false">
      <c r="A61" s="0" t="n">
        <v>5</v>
      </c>
      <c r="B61" s="0" t="n">
        <v>4</v>
      </c>
      <c r="C61" s="14" t="n">
        <v>60</v>
      </c>
      <c r="D61" s="15" t="n">
        <f aca="false">C61*$B$4</f>
        <v>60</v>
      </c>
      <c r="E61" s="16" t="n">
        <f aca="false">D61*4.3</f>
        <v>258</v>
      </c>
      <c r="F61" s="7" t="n">
        <f aca="false">$B$7</f>
        <v>4.5</v>
      </c>
      <c r="G61" s="5" t="n">
        <f aca="false">E61*F61</f>
        <v>1161</v>
      </c>
    </row>
    <row r="62" customFormat="false" ht="15" hidden="false" customHeight="false" outlineLevel="0" collapsed="false">
      <c r="A62" s="0" t="n">
        <v>5</v>
      </c>
      <c r="B62" s="0" t="n">
        <v>5</v>
      </c>
      <c r="C62" s="14" t="n">
        <v>60</v>
      </c>
      <c r="D62" s="15" t="n">
        <f aca="false">C62*$B$4</f>
        <v>60</v>
      </c>
      <c r="E62" s="16" t="n">
        <f aca="false">D62*4.3</f>
        <v>258</v>
      </c>
      <c r="F62" s="7" t="n">
        <f aca="false">$B$7</f>
        <v>4.5</v>
      </c>
      <c r="G62" s="5" t="n">
        <f aca="false">E62*F62</f>
        <v>1161</v>
      </c>
    </row>
    <row r="63" customFormat="false" ht="15" hidden="false" customHeight="false" outlineLevel="0" collapsed="false">
      <c r="A63" s="0" t="n">
        <v>5</v>
      </c>
      <c r="B63" s="0" t="n">
        <v>6</v>
      </c>
      <c r="C63" s="14" t="n">
        <v>60</v>
      </c>
      <c r="D63" s="15" t="n">
        <f aca="false">C63*$B$4</f>
        <v>60</v>
      </c>
      <c r="E63" s="16" t="n">
        <f aca="false">D63*4.3</f>
        <v>258</v>
      </c>
      <c r="F63" s="7" t="n">
        <f aca="false">$B$7</f>
        <v>4.5</v>
      </c>
      <c r="G63" s="5" t="n">
        <f aca="false">E63*F63</f>
        <v>1161</v>
      </c>
    </row>
    <row r="64" customFormat="false" ht="15" hidden="false" customHeight="false" outlineLevel="0" collapsed="false">
      <c r="A64" s="0" t="n">
        <v>5</v>
      </c>
      <c r="B64" s="0" t="n">
        <v>7</v>
      </c>
      <c r="C64" s="14" t="n">
        <v>60</v>
      </c>
      <c r="D64" s="15" t="n">
        <f aca="false">C64*$B$4</f>
        <v>60</v>
      </c>
      <c r="E64" s="16" t="n">
        <f aca="false">D64*4.3</f>
        <v>258</v>
      </c>
      <c r="F64" s="7" t="n">
        <f aca="false">$B$7</f>
        <v>4.5</v>
      </c>
      <c r="G64" s="5" t="n">
        <f aca="false">E64*F64</f>
        <v>1161</v>
      </c>
    </row>
    <row r="65" customFormat="false" ht="15" hidden="false" customHeight="false" outlineLevel="0" collapsed="false">
      <c r="A65" s="0" t="n">
        <v>5</v>
      </c>
      <c r="B65" s="0" t="n">
        <v>8</v>
      </c>
      <c r="C65" s="14" t="n">
        <v>60</v>
      </c>
      <c r="D65" s="15" t="n">
        <f aca="false">C65*$B$4</f>
        <v>60</v>
      </c>
      <c r="E65" s="16" t="n">
        <f aca="false">D65*4.3</f>
        <v>258</v>
      </c>
      <c r="F65" s="7" t="n">
        <f aca="false">$B$7</f>
        <v>4.5</v>
      </c>
      <c r="G65" s="5" t="n">
        <f aca="false">E65*F65</f>
        <v>1161</v>
      </c>
    </row>
    <row r="66" customFormat="false" ht="15" hidden="false" customHeight="false" outlineLevel="0" collapsed="false">
      <c r="A66" s="0" t="n">
        <v>5</v>
      </c>
      <c r="B66" s="0" t="n">
        <v>9</v>
      </c>
      <c r="C66" s="14" t="n">
        <v>60</v>
      </c>
      <c r="D66" s="15" t="n">
        <f aca="false">C66*$B$4</f>
        <v>60</v>
      </c>
      <c r="E66" s="16" t="n">
        <f aca="false">D66*4.3</f>
        <v>258</v>
      </c>
      <c r="F66" s="7" t="n">
        <f aca="false">$B$7</f>
        <v>4.5</v>
      </c>
      <c r="G66" s="5" t="n">
        <f aca="false">E66*F66</f>
        <v>1161</v>
      </c>
    </row>
    <row r="67" customFormat="false" ht="15" hidden="false" customHeight="false" outlineLevel="0" collapsed="false">
      <c r="A67" s="0" t="n">
        <v>5</v>
      </c>
      <c r="B67" s="0" t="n">
        <v>10</v>
      </c>
      <c r="C67" s="14" t="n">
        <v>60</v>
      </c>
      <c r="D67" s="15" t="n">
        <f aca="false">C67*$B$4</f>
        <v>60</v>
      </c>
      <c r="E67" s="16" t="n">
        <f aca="false">D67*4.3</f>
        <v>258</v>
      </c>
      <c r="F67" s="7" t="n">
        <f aca="false">$B$7</f>
        <v>4.5</v>
      </c>
      <c r="G67" s="5" t="n">
        <f aca="false">E67*F67</f>
        <v>1161</v>
      </c>
    </row>
    <row r="68" customFormat="false" ht="15" hidden="false" customHeight="false" outlineLevel="0" collapsed="false">
      <c r="A68" s="0" t="n">
        <v>5</v>
      </c>
      <c r="B68" s="0" t="n">
        <v>11</v>
      </c>
      <c r="C68" s="14" t="n">
        <v>60</v>
      </c>
      <c r="D68" s="15" t="n">
        <f aca="false">C68*$B$4</f>
        <v>60</v>
      </c>
      <c r="E68" s="16" t="n">
        <f aca="false">D68*4.3</f>
        <v>258</v>
      </c>
      <c r="F68" s="7" t="n">
        <f aca="false">$B$7</f>
        <v>4.5</v>
      </c>
      <c r="G68" s="5" t="n">
        <f aca="false">E68*F68</f>
        <v>1161</v>
      </c>
    </row>
    <row r="69" customFormat="false" ht="15" hidden="false" customHeight="false" outlineLevel="0" collapsed="false">
      <c r="A69" s="0" t="n">
        <v>5</v>
      </c>
      <c r="B69" s="0" t="n">
        <v>12</v>
      </c>
      <c r="C69" s="14" t="n">
        <v>60</v>
      </c>
      <c r="D69" s="15" t="n">
        <f aca="false">C69*$B$4</f>
        <v>60</v>
      </c>
      <c r="E69" s="16" t="n">
        <f aca="false">D69*4.3</f>
        <v>258</v>
      </c>
      <c r="F69" s="7" t="n">
        <f aca="false">$B$7</f>
        <v>4.5</v>
      </c>
      <c r="G69" s="5" t="n">
        <f aca="false">E69*F69</f>
        <v>1161</v>
      </c>
    </row>
    <row r="70" customFormat="false" ht="15" hidden="false" customHeight="false" outlineLevel="0" collapsed="false">
      <c r="A70" s="0" t="n">
        <v>6</v>
      </c>
      <c r="B70" s="0" t="n">
        <v>1</v>
      </c>
      <c r="C70" s="14" t="n">
        <v>60</v>
      </c>
      <c r="D70" s="15" t="n">
        <f aca="false">C70*$B$4</f>
        <v>60</v>
      </c>
      <c r="E70" s="16" t="n">
        <f aca="false">D70*4.3</f>
        <v>258</v>
      </c>
      <c r="F70" s="7" t="n">
        <f aca="false">$B$7</f>
        <v>4.5</v>
      </c>
      <c r="G70" s="5" t="n">
        <f aca="false">E70*F70</f>
        <v>1161</v>
      </c>
    </row>
    <row r="71" customFormat="false" ht="15" hidden="false" customHeight="false" outlineLevel="0" collapsed="false">
      <c r="A71" s="0" t="n">
        <v>6</v>
      </c>
      <c r="B71" s="0" t="n">
        <v>2</v>
      </c>
      <c r="C71" s="14" t="n">
        <v>60</v>
      </c>
      <c r="D71" s="15" t="n">
        <f aca="false">C71*$B$4</f>
        <v>60</v>
      </c>
      <c r="E71" s="16" t="n">
        <f aca="false">D71*4.3</f>
        <v>258</v>
      </c>
      <c r="F71" s="7" t="n">
        <f aca="false">$B$7</f>
        <v>4.5</v>
      </c>
      <c r="G71" s="5" t="n">
        <f aca="false">E71*F71</f>
        <v>1161</v>
      </c>
    </row>
    <row r="72" customFormat="false" ht="15" hidden="false" customHeight="false" outlineLevel="0" collapsed="false">
      <c r="A72" s="0" t="n">
        <v>6</v>
      </c>
      <c r="B72" s="0" t="n">
        <v>3</v>
      </c>
      <c r="C72" s="14" t="n">
        <v>60</v>
      </c>
      <c r="D72" s="15" t="n">
        <f aca="false">C72*$B$4</f>
        <v>60</v>
      </c>
      <c r="E72" s="16" t="n">
        <f aca="false">D72*4.3</f>
        <v>258</v>
      </c>
      <c r="F72" s="7" t="n">
        <f aca="false">$B$7</f>
        <v>4.5</v>
      </c>
      <c r="G72" s="5" t="n">
        <f aca="false">E72*F72</f>
        <v>1161</v>
      </c>
    </row>
    <row r="73" customFormat="false" ht="15" hidden="false" customHeight="false" outlineLevel="0" collapsed="false">
      <c r="A73" s="0" t="n">
        <v>6</v>
      </c>
      <c r="B73" s="0" t="n">
        <v>4</v>
      </c>
      <c r="C73" s="14" t="n">
        <v>60</v>
      </c>
      <c r="D73" s="15" t="n">
        <f aca="false">C73*$B$4</f>
        <v>60</v>
      </c>
      <c r="E73" s="16" t="n">
        <f aca="false">D73*4.3</f>
        <v>258</v>
      </c>
      <c r="F73" s="7" t="n">
        <f aca="false">$B$7</f>
        <v>4.5</v>
      </c>
      <c r="G73" s="5" t="n">
        <f aca="false">E73*F73</f>
        <v>1161</v>
      </c>
    </row>
    <row r="74" customFormat="false" ht="15" hidden="false" customHeight="false" outlineLevel="0" collapsed="false">
      <c r="A74" s="0" t="n">
        <v>6</v>
      </c>
      <c r="B74" s="0" t="n">
        <v>5</v>
      </c>
      <c r="C74" s="14" t="n">
        <v>60</v>
      </c>
      <c r="D74" s="15" t="n">
        <f aca="false">C74*$B$4</f>
        <v>60</v>
      </c>
      <c r="E74" s="16" t="n">
        <f aca="false">D74*4.3</f>
        <v>258</v>
      </c>
      <c r="F74" s="7" t="n">
        <f aca="false">$B$7</f>
        <v>4.5</v>
      </c>
      <c r="G74" s="5" t="n">
        <f aca="false">E74*F74</f>
        <v>1161</v>
      </c>
    </row>
    <row r="75" customFormat="false" ht="15" hidden="false" customHeight="false" outlineLevel="0" collapsed="false">
      <c r="A75" s="0" t="n">
        <v>6</v>
      </c>
      <c r="B75" s="0" t="n">
        <v>6</v>
      </c>
      <c r="C75" s="14" t="n">
        <v>60</v>
      </c>
      <c r="D75" s="15" t="n">
        <f aca="false">C75*$B$4</f>
        <v>60</v>
      </c>
      <c r="E75" s="16" t="n">
        <f aca="false">D75*4.3</f>
        <v>258</v>
      </c>
      <c r="F75" s="7" t="n">
        <f aca="false">$B$7</f>
        <v>4.5</v>
      </c>
      <c r="G75" s="5" t="n">
        <f aca="false">E75*F75</f>
        <v>1161</v>
      </c>
    </row>
    <row r="76" customFormat="false" ht="15" hidden="false" customHeight="false" outlineLevel="0" collapsed="false">
      <c r="A76" s="0" t="n">
        <v>6</v>
      </c>
      <c r="B76" s="0" t="n">
        <v>7</v>
      </c>
      <c r="C76" s="14" t="n">
        <v>60</v>
      </c>
      <c r="D76" s="15" t="n">
        <f aca="false">C76*$B$4</f>
        <v>60</v>
      </c>
      <c r="E76" s="16" t="n">
        <f aca="false">D76*4.3</f>
        <v>258</v>
      </c>
      <c r="F76" s="7" t="n">
        <f aca="false">$B$7</f>
        <v>4.5</v>
      </c>
      <c r="G76" s="5" t="n">
        <f aca="false">E76*F76</f>
        <v>1161</v>
      </c>
    </row>
    <row r="77" customFormat="false" ht="15" hidden="false" customHeight="false" outlineLevel="0" collapsed="false">
      <c r="A77" s="0" t="n">
        <v>6</v>
      </c>
      <c r="B77" s="0" t="n">
        <v>8</v>
      </c>
      <c r="C77" s="14" t="n">
        <v>60</v>
      </c>
      <c r="D77" s="15" t="n">
        <f aca="false">C77*$B$4</f>
        <v>60</v>
      </c>
      <c r="E77" s="16" t="n">
        <f aca="false">D77*4.3</f>
        <v>258</v>
      </c>
      <c r="F77" s="7" t="n">
        <f aca="false">$B$7</f>
        <v>4.5</v>
      </c>
      <c r="G77" s="5" t="n">
        <f aca="false">E77*F77</f>
        <v>1161</v>
      </c>
    </row>
    <row r="78" customFormat="false" ht="15" hidden="false" customHeight="false" outlineLevel="0" collapsed="false">
      <c r="A78" s="0" t="n">
        <v>6</v>
      </c>
      <c r="B78" s="0" t="n">
        <v>9</v>
      </c>
      <c r="C78" s="14" t="n">
        <v>60</v>
      </c>
      <c r="D78" s="15" t="n">
        <f aca="false">C78*$B$4</f>
        <v>60</v>
      </c>
      <c r="E78" s="16" t="n">
        <f aca="false">D78*4.3</f>
        <v>258</v>
      </c>
      <c r="F78" s="7" t="n">
        <f aca="false">$B$7</f>
        <v>4.5</v>
      </c>
      <c r="G78" s="5" t="n">
        <f aca="false">E78*F78</f>
        <v>1161</v>
      </c>
    </row>
    <row r="79" customFormat="false" ht="15" hidden="false" customHeight="false" outlineLevel="0" collapsed="false">
      <c r="A79" s="0" t="n">
        <v>6</v>
      </c>
      <c r="B79" s="0" t="n">
        <v>10</v>
      </c>
      <c r="C79" s="14" t="n">
        <v>60</v>
      </c>
      <c r="D79" s="15" t="n">
        <f aca="false">C79*$B$4</f>
        <v>60</v>
      </c>
      <c r="E79" s="16" t="n">
        <f aca="false">D79*4.3</f>
        <v>258</v>
      </c>
      <c r="F79" s="7" t="n">
        <f aca="false">$B$7</f>
        <v>4.5</v>
      </c>
      <c r="G79" s="5" t="n">
        <f aca="false">E79*F79</f>
        <v>1161</v>
      </c>
    </row>
    <row r="80" customFormat="false" ht="15" hidden="false" customHeight="false" outlineLevel="0" collapsed="false">
      <c r="A80" s="0" t="n">
        <v>6</v>
      </c>
      <c r="B80" s="0" t="n">
        <v>11</v>
      </c>
      <c r="C80" s="14" t="n">
        <v>60</v>
      </c>
      <c r="D80" s="15" t="n">
        <f aca="false">C80*$B$4</f>
        <v>60</v>
      </c>
      <c r="E80" s="16" t="n">
        <f aca="false">D80*4.3</f>
        <v>258</v>
      </c>
      <c r="F80" s="7" t="n">
        <f aca="false">$B$7</f>
        <v>4.5</v>
      </c>
      <c r="G80" s="5" t="n">
        <f aca="false">E80*F80</f>
        <v>1161</v>
      </c>
    </row>
    <row r="81" customFormat="false" ht="15" hidden="false" customHeight="false" outlineLevel="0" collapsed="false">
      <c r="A81" s="0" t="n">
        <v>6</v>
      </c>
      <c r="B81" s="0" t="n">
        <v>12</v>
      </c>
      <c r="C81" s="14" t="n">
        <v>60</v>
      </c>
      <c r="D81" s="15" t="n">
        <f aca="false">C81*$B$4</f>
        <v>60</v>
      </c>
      <c r="E81" s="16" t="n">
        <f aca="false">D81*4.3</f>
        <v>258</v>
      </c>
      <c r="F81" s="7" t="n">
        <f aca="false">$B$7</f>
        <v>4.5</v>
      </c>
      <c r="G81" s="5" t="n">
        <f aca="false">E81*F81</f>
        <v>1161</v>
      </c>
    </row>
    <row r="82" customFormat="false" ht="15" hidden="false" customHeight="false" outlineLevel="0" collapsed="false">
      <c r="A82" s="0" t="n">
        <v>7</v>
      </c>
      <c r="B82" s="0" t="n">
        <v>1</v>
      </c>
      <c r="C82" s="14" t="n">
        <v>60</v>
      </c>
      <c r="D82" s="15" t="n">
        <f aca="false">C82*$B$4</f>
        <v>60</v>
      </c>
      <c r="E82" s="16" t="n">
        <f aca="false">D82*4.3</f>
        <v>258</v>
      </c>
      <c r="F82" s="7" t="n">
        <f aca="false">$B$7</f>
        <v>4.5</v>
      </c>
      <c r="G82" s="5" t="n">
        <f aca="false">E82*F82</f>
        <v>1161</v>
      </c>
    </row>
    <row r="83" customFormat="false" ht="15" hidden="false" customHeight="false" outlineLevel="0" collapsed="false">
      <c r="A83" s="0" t="n">
        <v>7</v>
      </c>
      <c r="B83" s="0" t="n">
        <v>2</v>
      </c>
      <c r="C83" s="14" t="n">
        <v>60</v>
      </c>
      <c r="D83" s="15" t="n">
        <f aca="false">C83*$B$4</f>
        <v>60</v>
      </c>
      <c r="E83" s="16" t="n">
        <f aca="false">D83*4.3</f>
        <v>258</v>
      </c>
      <c r="F83" s="7" t="n">
        <f aca="false">$B$7</f>
        <v>4.5</v>
      </c>
      <c r="G83" s="5" t="n">
        <f aca="false">E83*F83</f>
        <v>1161</v>
      </c>
    </row>
    <row r="84" customFormat="false" ht="15" hidden="false" customHeight="false" outlineLevel="0" collapsed="false">
      <c r="A84" s="0" t="n">
        <v>7</v>
      </c>
      <c r="B84" s="0" t="n">
        <v>3</v>
      </c>
      <c r="C84" s="14" t="n">
        <v>60</v>
      </c>
      <c r="D84" s="15" t="n">
        <f aca="false">C84*$B$4</f>
        <v>60</v>
      </c>
      <c r="E84" s="16" t="n">
        <f aca="false">D84*4.3</f>
        <v>258</v>
      </c>
      <c r="F84" s="7" t="n">
        <f aca="false">$B$7</f>
        <v>4.5</v>
      </c>
      <c r="G84" s="5" t="n">
        <f aca="false">E84*F84</f>
        <v>1161</v>
      </c>
    </row>
    <row r="85" customFormat="false" ht="15" hidden="false" customHeight="false" outlineLevel="0" collapsed="false">
      <c r="A85" s="0" t="n">
        <v>7</v>
      </c>
      <c r="B85" s="0" t="n">
        <v>4</v>
      </c>
      <c r="C85" s="14" t="n">
        <v>60</v>
      </c>
      <c r="D85" s="15" t="n">
        <f aca="false">C85*$B$4</f>
        <v>60</v>
      </c>
      <c r="E85" s="16" t="n">
        <f aca="false">D85*4.3</f>
        <v>258</v>
      </c>
      <c r="F85" s="7" t="n">
        <f aca="false">$B$7</f>
        <v>4.5</v>
      </c>
      <c r="G85" s="5" t="n">
        <f aca="false">E85*F85</f>
        <v>1161</v>
      </c>
    </row>
    <row r="86" customFormat="false" ht="15" hidden="false" customHeight="false" outlineLevel="0" collapsed="false">
      <c r="A86" s="0" t="n">
        <v>7</v>
      </c>
      <c r="B86" s="0" t="n">
        <v>5</v>
      </c>
      <c r="C86" s="14" t="n">
        <v>60</v>
      </c>
      <c r="D86" s="15" t="n">
        <f aca="false">C86*$B$4</f>
        <v>60</v>
      </c>
      <c r="E86" s="16" t="n">
        <f aca="false">D86*4.3</f>
        <v>258</v>
      </c>
      <c r="F86" s="7" t="n">
        <f aca="false">$B$7</f>
        <v>4.5</v>
      </c>
      <c r="G86" s="5" t="n">
        <f aca="false">E86*F86</f>
        <v>1161</v>
      </c>
    </row>
    <row r="87" customFormat="false" ht="15" hidden="false" customHeight="false" outlineLevel="0" collapsed="false">
      <c r="A87" s="0" t="n">
        <v>7</v>
      </c>
      <c r="B87" s="0" t="n">
        <v>6</v>
      </c>
      <c r="C87" s="14" t="n">
        <v>60</v>
      </c>
      <c r="D87" s="15" t="n">
        <f aca="false">C87*$B$4</f>
        <v>60</v>
      </c>
      <c r="E87" s="16" t="n">
        <f aca="false">D87*4.3</f>
        <v>258</v>
      </c>
      <c r="F87" s="7" t="n">
        <f aca="false">$B$7</f>
        <v>4.5</v>
      </c>
      <c r="G87" s="5" t="n">
        <f aca="false">E87*F87</f>
        <v>1161</v>
      </c>
    </row>
    <row r="88" customFormat="false" ht="15" hidden="false" customHeight="false" outlineLevel="0" collapsed="false">
      <c r="A88" s="0" t="n">
        <v>7</v>
      </c>
      <c r="B88" s="0" t="n">
        <v>7</v>
      </c>
      <c r="C88" s="14" t="n">
        <v>60</v>
      </c>
      <c r="D88" s="15" t="n">
        <f aca="false">C88*$B$4</f>
        <v>60</v>
      </c>
      <c r="E88" s="16" t="n">
        <f aca="false">D88*4.3</f>
        <v>258</v>
      </c>
      <c r="F88" s="7" t="n">
        <f aca="false">$B$7</f>
        <v>4.5</v>
      </c>
      <c r="G88" s="5" t="n">
        <f aca="false">E88*F88</f>
        <v>1161</v>
      </c>
    </row>
    <row r="89" customFormat="false" ht="15" hidden="false" customHeight="false" outlineLevel="0" collapsed="false">
      <c r="A89" s="0" t="n">
        <v>7</v>
      </c>
      <c r="B89" s="0" t="n">
        <v>8</v>
      </c>
      <c r="C89" s="14" t="n">
        <v>60</v>
      </c>
      <c r="D89" s="15" t="n">
        <f aca="false">C89*$B$4</f>
        <v>60</v>
      </c>
      <c r="E89" s="16" t="n">
        <f aca="false">D89*4.3</f>
        <v>258</v>
      </c>
      <c r="F89" s="7" t="n">
        <f aca="false">$B$7</f>
        <v>4.5</v>
      </c>
      <c r="G89" s="5" t="n">
        <f aca="false">E89*F89</f>
        <v>1161</v>
      </c>
    </row>
    <row r="90" customFormat="false" ht="15" hidden="false" customHeight="false" outlineLevel="0" collapsed="false">
      <c r="A90" s="0" t="n">
        <v>7</v>
      </c>
      <c r="B90" s="0" t="n">
        <v>9</v>
      </c>
      <c r="C90" s="14" t="n">
        <v>60</v>
      </c>
      <c r="D90" s="15" t="n">
        <f aca="false">C90*$B$4</f>
        <v>60</v>
      </c>
      <c r="E90" s="16" t="n">
        <f aca="false">D90*4.3</f>
        <v>258</v>
      </c>
      <c r="F90" s="7" t="n">
        <f aca="false">$B$7</f>
        <v>4.5</v>
      </c>
      <c r="G90" s="5" t="n">
        <f aca="false">E90*F90</f>
        <v>1161</v>
      </c>
    </row>
    <row r="91" customFormat="false" ht="15" hidden="false" customHeight="false" outlineLevel="0" collapsed="false">
      <c r="A91" s="0" t="n">
        <v>7</v>
      </c>
      <c r="B91" s="0" t="n">
        <v>10</v>
      </c>
      <c r="C91" s="14" t="n">
        <v>60</v>
      </c>
      <c r="D91" s="15" t="n">
        <f aca="false">C91*$B$4</f>
        <v>60</v>
      </c>
      <c r="E91" s="16" t="n">
        <f aca="false">D91*4.3</f>
        <v>258</v>
      </c>
      <c r="F91" s="7" t="n">
        <f aca="false">$B$7</f>
        <v>4.5</v>
      </c>
      <c r="G91" s="5" t="n">
        <f aca="false">E91*F91</f>
        <v>1161</v>
      </c>
    </row>
    <row r="92" customFormat="false" ht="15" hidden="false" customHeight="false" outlineLevel="0" collapsed="false">
      <c r="A92" s="0" t="n">
        <v>7</v>
      </c>
      <c r="B92" s="0" t="n">
        <v>11</v>
      </c>
      <c r="C92" s="14" t="n">
        <v>60</v>
      </c>
      <c r="D92" s="15" t="n">
        <f aca="false">C92*$B$4</f>
        <v>60</v>
      </c>
      <c r="E92" s="16" t="n">
        <f aca="false">D92*4.3</f>
        <v>258</v>
      </c>
      <c r="F92" s="7" t="n">
        <f aca="false">$B$7</f>
        <v>4.5</v>
      </c>
      <c r="G92" s="5" t="n">
        <f aca="false">E92*F92</f>
        <v>1161</v>
      </c>
    </row>
    <row r="93" customFormat="false" ht="15" hidden="false" customHeight="false" outlineLevel="0" collapsed="false">
      <c r="A93" s="0" t="n">
        <v>7</v>
      </c>
      <c r="B93" s="0" t="n">
        <v>12</v>
      </c>
      <c r="C93" s="14" t="n">
        <v>60</v>
      </c>
      <c r="D93" s="15" t="n">
        <f aca="false">C93*$B$4</f>
        <v>60</v>
      </c>
      <c r="E93" s="16" t="n">
        <f aca="false">D93*4.3</f>
        <v>258</v>
      </c>
      <c r="F93" s="7" t="n">
        <f aca="false">$B$7</f>
        <v>4.5</v>
      </c>
      <c r="G93" s="5" t="n">
        <f aca="false">E93*F93</f>
        <v>1161</v>
      </c>
    </row>
    <row r="94" customFormat="false" ht="15" hidden="false" customHeight="false" outlineLevel="0" collapsed="false">
      <c r="A94" s="0" t="n">
        <v>8</v>
      </c>
      <c r="B94" s="0" t="n">
        <v>1</v>
      </c>
      <c r="C94" s="14" t="n">
        <v>60</v>
      </c>
      <c r="D94" s="15" t="n">
        <f aca="false">C94*$B$4</f>
        <v>60</v>
      </c>
      <c r="E94" s="16" t="n">
        <f aca="false">D94*4.3</f>
        <v>258</v>
      </c>
      <c r="F94" s="7" t="n">
        <f aca="false">$B$7</f>
        <v>4.5</v>
      </c>
      <c r="G94" s="5" t="n">
        <f aca="false">E94*F94</f>
        <v>1161</v>
      </c>
    </row>
    <row r="95" customFormat="false" ht="15" hidden="false" customHeight="false" outlineLevel="0" collapsed="false">
      <c r="A95" s="0" t="n">
        <v>8</v>
      </c>
      <c r="B95" s="0" t="n">
        <v>2</v>
      </c>
      <c r="C95" s="14" t="n">
        <v>60</v>
      </c>
      <c r="D95" s="15" t="n">
        <f aca="false">C95*$B$4</f>
        <v>60</v>
      </c>
      <c r="E95" s="16" t="n">
        <f aca="false">D95*4.3</f>
        <v>258</v>
      </c>
      <c r="F95" s="7" t="n">
        <f aca="false">$B$7</f>
        <v>4.5</v>
      </c>
      <c r="G95" s="5" t="n">
        <f aca="false">E95*F95</f>
        <v>1161</v>
      </c>
    </row>
    <row r="96" customFormat="false" ht="15" hidden="false" customHeight="false" outlineLevel="0" collapsed="false">
      <c r="A96" s="0" t="n">
        <v>8</v>
      </c>
      <c r="B96" s="0" t="n">
        <v>3</v>
      </c>
      <c r="C96" s="14" t="n">
        <v>60</v>
      </c>
      <c r="D96" s="15" t="n">
        <f aca="false">C96*$B$4</f>
        <v>60</v>
      </c>
      <c r="E96" s="16" t="n">
        <f aca="false">D96*4.3</f>
        <v>258</v>
      </c>
      <c r="F96" s="7" t="n">
        <f aca="false">$B$7</f>
        <v>4.5</v>
      </c>
      <c r="G96" s="5" t="n">
        <f aca="false">E96*F96</f>
        <v>1161</v>
      </c>
    </row>
    <row r="97" customFormat="false" ht="15" hidden="false" customHeight="false" outlineLevel="0" collapsed="false">
      <c r="A97" s="0" t="n">
        <v>8</v>
      </c>
      <c r="B97" s="0" t="n">
        <v>4</v>
      </c>
      <c r="C97" s="14" t="n">
        <v>60</v>
      </c>
      <c r="D97" s="15" t="n">
        <f aca="false">C97*$B$4</f>
        <v>60</v>
      </c>
      <c r="E97" s="16" t="n">
        <f aca="false">D97*4.3</f>
        <v>258</v>
      </c>
      <c r="F97" s="7" t="n">
        <f aca="false">$B$7</f>
        <v>4.5</v>
      </c>
      <c r="G97" s="5" t="n">
        <f aca="false">E97*F97</f>
        <v>1161</v>
      </c>
    </row>
    <row r="98" customFormat="false" ht="15" hidden="false" customHeight="false" outlineLevel="0" collapsed="false">
      <c r="A98" s="0" t="n">
        <v>8</v>
      </c>
      <c r="B98" s="0" t="n">
        <v>5</v>
      </c>
      <c r="C98" s="14" t="n">
        <v>60</v>
      </c>
      <c r="D98" s="15" t="n">
        <f aca="false">C98*$B$4</f>
        <v>60</v>
      </c>
      <c r="E98" s="16" t="n">
        <f aca="false">D98*4.3</f>
        <v>258</v>
      </c>
      <c r="F98" s="7" t="n">
        <f aca="false">$B$7</f>
        <v>4.5</v>
      </c>
      <c r="G98" s="5" t="n">
        <f aca="false">E98*F98</f>
        <v>1161</v>
      </c>
    </row>
    <row r="99" customFormat="false" ht="15" hidden="false" customHeight="false" outlineLevel="0" collapsed="false">
      <c r="A99" s="0" t="n">
        <v>8</v>
      </c>
      <c r="B99" s="0" t="n">
        <v>6</v>
      </c>
      <c r="C99" s="14" t="n">
        <v>60</v>
      </c>
      <c r="D99" s="15" t="n">
        <f aca="false">C99*$B$4</f>
        <v>60</v>
      </c>
      <c r="E99" s="16" t="n">
        <f aca="false">D99*4.3</f>
        <v>258</v>
      </c>
      <c r="F99" s="7" t="n">
        <f aca="false">$B$7</f>
        <v>4.5</v>
      </c>
      <c r="G99" s="5" t="n">
        <f aca="false">E99*F99</f>
        <v>1161</v>
      </c>
    </row>
    <row r="100" customFormat="false" ht="15" hidden="false" customHeight="false" outlineLevel="0" collapsed="false">
      <c r="A100" s="0" t="n">
        <v>8</v>
      </c>
      <c r="B100" s="0" t="n">
        <v>7</v>
      </c>
      <c r="C100" s="14" t="n">
        <v>60</v>
      </c>
      <c r="D100" s="15" t="n">
        <f aca="false">C100*$B$4</f>
        <v>60</v>
      </c>
      <c r="E100" s="16" t="n">
        <f aca="false">D100*4.3</f>
        <v>258</v>
      </c>
      <c r="F100" s="7" t="n">
        <f aca="false">$B$7</f>
        <v>4.5</v>
      </c>
      <c r="G100" s="5" t="n">
        <f aca="false">E100*F100</f>
        <v>1161</v>
      </c>
    </row>
    <row r="101" customFormat="false" ht="15" hidden="false" customHeight="false" outlineLevel="0" collapsed="false">
      <c r="A101" s="0" t="n">
        <v>8</v>
      </c>
      <c r="B101" s="0" t="n">
        <v>8</v>
      </c>
      <c r="C101" s="14" t="n">
        <v>60</v>
      </c>
      <c r="D101" s="15" t="n">
        <f aca="false">C101*$B$4</f>
        <v>60</v>
      </c>
      <c r="E101" s="16" t="n">
        <f aca="false">D101*4.3</f>
        <v>258</v>
      </c>
      <c r="F101" s="7" t="n">
        <f aca="false">$B$7</f>
        <v>4.5</v>
      </c>
      <c r="G101" s="5" t="n">
        <f aca="false">E101*F101</f>
        <v>1161</v>
      </c>
    </row>
    <row r="102" customFormat="false" ht="15" hidden="false" customHeight="false" outlineLevel="0" collapsed="false">
      <c r="A102" s="0" t="n">
        <v>8</v>
      </c>
      <c r="B102" s="0" t="n">
        <v>9</v>
      </c>
      <c r="C102" s="14" t="n">
        <v>60</v>
      </c>
      <c r="D102" s="15" t="n">
        <f aca="false">C102*$B$4</f>
        <v>60</v>
      </c>
      <c r="E102" s="16" t="n">
        <f aca="false">D102*4.3</f>
        <v>258</v>
      </c>
      <c r="F102" s="7" t="n">
        <f aca="false">$B$7</f>
        <v>4.5</v>
      </c>
      <c r="G102" s="5" t="n">
        <f aca="false">E102*F102</f>
        <v>1161</v>
      </c>
    </row>
    <row r="103" customFormat="false" ht="15" hidden="false" customHeight="false" outlineLevel="0" collapsed="false">
      <c r="A103" s="0" t="n">
        <v>8</v>
      </c>
      <c r="B103" s="0" t="n">
        <v>10</v>
      </c>
      <c r="C103" s="14" t="n">
        <v>60</v>
      </c>
      <c r="D103" s="15" t="n">
        <f aca="false">C103*$B$4</f>
        <v>60</v>
      </c>
      <c r="E103" s="16" t="n">
        <f aca="false">D103*4.3</f>
        <v>258</v>
      </c>
      <c r="F103" s="7" t="n">
        <f aca="false">$B$7</f>
        <v>4.5</v>
      </c>
      <c r="G103" s="5" t="n">
        <f aca="false">E103*F103</f>
        <v>1161</v>
      </c>
    </row>
    <row r="104" customFormat="false" ht="15" hidden="false" customHeight="false" outlineLevel="0" collapsed="false">
      <c r="A104" s="0" t="n">
        <v>8</v>
      </c>
      <c r="B104" s="0" t="n">
        <v>11</v>
      </c>
      <c r="C104" s="14" t="n">
        <v>60</v>
      </c>
      <c r="D104" s="15" t="n">
        <f aca="false">C104*$B$4</f>
        <v>60</v>
      </c>
      <c r="E104" s="16" t="n">
        <f aca="false">D104*4.3</f>
        <v>258</v>
      </c>
      <c r="F104" s="7" t="n">
        <f aca="false">$B$7</f>
        <v>4.5</v>
      </c>
      <c r="G104" s="5" t="n">
        <f aca="false">E104*F104</f>
        <v>1161</v>
      </c>
    </row>
    <row r="105" customFormat="false" ht="15" hidden="false" customHeight="false" outlineLevel="0" collapsed="false">
      <c r="A105" s="0" t="n">
        <v>8</v>
      </c>
      <c r="B105" s="0" t="n">
        <v>12</v>
      </c>
      <c r="C105" s="14" t="n">
        <v>60</v>
      </c>
      <c r="D105" s="15" t="n">
        <f aca="false">C105*$B$4</f>
        <v>60</v>
      </c>
      <c r="E105" s="16" t="n">
        <f aca="false">D105*4.3</f>
        <v>258</v>
      </c>
      <c r="F105" s="7" t="n">
        <f aca="false">$B$7</f>
        <v>4.5</v>
      </c>
      <c r="G105" s="5" t="n">
        <f aca="false">E105*F105</f>
        <v>1161</v>
      </c>
    </row>
    <row r="106" customFormat="false" ht="15" hidden="false" customHeight="false" outlineLevel="0" collapsed="false">
      <c r="A106" s="0" t="n">
        <v>9</v>
      </c>
      <c r="B106" s="0" t="n">
        <v>1</v>
      </c>
      <c r="C106" s="14" t="n">
        <v>60</v>
      </c>
      <c r="D106" s="15" t="n">
        <f aca="false">C106*$B$4</f>
        <v>60</v>
      </c>
      <c r="E106" s="16" t="n">
        <f aca="false">D106*4.3</f>
        <v>258</v>
      </c>
      <c r="F106" s="7" t="n">
        <f aca="false">$B$7</f>
        <v>4.5</v>
      </c>
      <c r="G106" s="5" t="n">
        <f aca="false">E106*F106</f>
        <v>1161</v>
      </c>
    </row>
    <row r="107" customFormat="false" ht="15" hidden="false" customHeight="false" outlineLevel="0" collapsed="false">
      <c r="A107" s="0" t="n">
        <v>9</v>
      </c>
      <c r="B107" s="0" t="n">
        <v>2</v>
      </c>
      <c r="C107" s="14" t="n">
        <v>60</v>
      </c>
      <c r="D107" s="15" t="n">
        <f aca="false">C107*$B$4</f>
        <v>60</v>
      </c>
      <c r="E107" s="16" t="n">
        <f aca="false">D107*4.3</f>
        <v>258</v>
      </c>
      <c r="F107" s="7" t="n">
        <f aca="false">$B$7</f>
        <v>4.5</v>
      </c>
      <c r="G107" s="5" t="n">
        <f aca="false">E107*F107</f>
        <v>1161</v>
      </c>
    </row>
    <row r="108" customFormat="false" ht="15" hidden="false" customHeight="false" outlineLevel="0" collapsed="false">
      <c r="A108" s="0" t="n">
        <v>9</v>
      </c>
      <c r="B108" s="0" t="n">
        <v>3</v>
      </c>
      <c r="C108" s="14" t="n">
        <v>60</v>
      </c>
      <c r="D108" s="15" t="n">
        <f aca="false">C108*$B$4</f>
        <v>60</v>
      </c>
      <c r="E108" s="16" t="n">
        <f aca="false">D108*4.3</f>
        <v>258</v>
      </c>
      <c r="F108" s="7" t="n">
        <f aca="false">$B$7</f>
        <v>4.5</v>
      </c>
      <c r="G108" s="5" t="n">
        <f aca="false">E108*F108</f>
        <v>1161</v>
      </c>
    </row>
    <row r="109" customFormat="false" ht="15" hidden="false" customHeight="false" outlineLevel="0" collapsed="false">
      <c r="A109" s="0" t="n">
        <v>9</v>
      </c>
      <c r="B109" s="0" t="n">
        <v>4</v>
      </c>
      <c r="C109" s="14" t="n">
        <v>60</v>
      </c>
      <c r="D109" s="15" t="n">
        <f aca="false">C109*$B$4</f>
        <v>60</v>
      </c>
      <c r="E109" s="16" t="n">
        <f aca="false">D109*4.3</f>
        <v>258</v>
      </c>
      <c r="F109" s="7" t="n">
        <f aca="false">$B$7</f>
        <v>4.5</v>
      </c>
      <c r="G109" s="5" t="n">
        <f aca="false">E109*F109</f>
        <v>1161</v>
      </c>
    </row>
    <row r="110" customFormat="false" ht="15" hidden="false" customHeight="false" outlineLevel="0" collapsed="false">
      <c r="A110" s="0" t="n">
        <v>9</v>
      </c>
      <c r="B110" s="0" t="n">
        <v>5</v>
      </c>
      <c r="C110" s="14" t="n">
        <v>60</v>
      </c>
      <c r="D110" s="15" t="n">
        <f aca="false">C110*$B$4</f>
        <v>60</v>
      </c>
      <c r="E110" s="16" t="n">
        <f aca="false">D110*4.3</f>
        <v>258</v>
      </c>
      <c r="F110" s="7" t="n">
        <f aca="false">$B$7</f>
        <v>4.5</v>
      </c>
      <c r="G110" s="5" t="n">
        <f aca="false">E110*F110</f>
        <v>1161</v>
      </c>
    </row>
    <row r="111" customFormat="false" ht="15" hidden="false" customHeight="false" outlineLevel="0" collapsed="false">
      <c r="A111" s="0" t="n">
        <v>9</v>
      </c>
      <c r="B111" s="0" t="n">
        <v>6</v>
      </c>
      <c r="C111" s="14" t="n">
        <v>60</v>
      </c>
      <c r="D111" s="15" t="n">
        <f aca="false">C111*$B$4</f>
        <v>60</v>
      </c>
      <c r="E111" s="16" t="n">
        <f aca="false">D111*4.3</f>
        <v>258</v>
      </c>
      <c r="F111" s="7" t="n">
        <f aca="false">$B$7</f>
        <v>4.5</v>
      </c>
      <c r="G111" s="5" t="n">
        <f aca="false">E111*F111</f>
        <v>1161</v>
      </c>
    </row>
    <row r="112" customFormat="false" ht="15" hidden="false" customHeight="false" outlineLevel="0" collapsed="false">
      <c r="A112" s="0" t="n">
        <v>9</v>
      </c>
      <c r="B112" s="0" t="n">
        <v>7</v>
      </c>
      <c r="C112" s="14" t="n">
        <v>60</v>
      </c>
      <c r="D112" s="15" t="n">
        <f aca="false">C112*$B$4</f>
        <v>60</v>
      </c>
      <c r="E112" s="16" t="n">
        <f aca="false">D112*4.3</f>
        <v>258</v>
      </c>
      <c r="F112" s="7" t="n">
        <f aca="false">$B$7</f>
        <v>4.5</v>
      </c>
      <c r="G112" s="5" t="n">
        <f aca="false">E112*F112</f>
        <v>1161</v>
      </c>
    </row>
    <row r="113" customFormat="false" ht="15" hidden="false" customHeight="false" outlineLevel="0" collapsed="false">
      <c r="A113" s="0" t="n">
        <v>9</v>
      </c>
      <c r="B113" s="0" t="n">
        <v>8</v>
      </c>
      <c r="C113" s="14" t="n">
        <v>60</v>
      </c>
      <c r="D113" s="15" t="n">
        <f aca="false">C113*$B$4</f>
        <v>60</v>
      </c>
      <c r="E113" s="16" t="n">
        <f aca="false">D113*4.3</f>
        <v>258</v>
      </c>
      <c r="F113" s="7" t="n">
        <f aca="false">$B$7</f>
        <v>4.5</v>
      </c>
      <c r="G113" s="5" t="n">
        <f aca="false">E113*F113</f>
        <v>1161</v>
      </c>
    </row>
    <row r="114" customFormat="false" ht="15" hidden="false" customHeight="false" outlineLevel="0" collapsed="false">
      <c r="A114" s="0" t="n">
        <v>9</v>
      </c>
      <c r="B114" s="0" t="n">
        <v>9</v>
      </c>
      <c r="C114" s="14" t="n">
        <v>60</v>
      </c>
      <c r="D114" s="15" t="n">
        <f aca="false">C114*$B$4</f>
        <v>60</v>
      </c>
      <c r="E114" s="16" t="n">
        <f aca="false">D114*4.3</f>
        <v>258</v>
      </c>
      <c r="F114" s="7" t="n">
        <f aca="false">$B$7</f>
        <v>4.5</v>
      </c>
      <c r="G114" s="5" t="n">
        <f aca="false">E114*F114</f>
        <v>1161</v>
      </c>
    </row>
    <row r="115" customFormat="false" ht="15" hidden="false" customHeight="false" outlineLevel="0" collapsed="false">
      <c r="A115" s="0" t="n">
        <v>9</v>
      </c>
      <c r="B115" s="0" t="n">
        <v>10</v>
      </c>
      <c r="C115" s="14" t="n">
        <v>60</v>
      </c>
      <c r="D115" s="15" t="n">
        <f aca="false">C115*$B$4</f>
        <v>60</v>
      </c>
      <c r="E115" s="16" t="n">
        <f aca="false">D115*4.3</f>
        <v>258</v>
      </c>
      <c r="F115" s="7" t="n">
        <f aca="false">$B$7</f>
        <v>4.5</v>
      </c>
      <c r="G115" s="5" t="n">
        <f aca="false">E115*F115</f>
        <v>1161</v>
      </c>
    </row>
    <row r="116" customFormat="false" ht="15" hidden="false" customHeight="false" outlineLevel="0" collapsed="false">
      <c r="A116" s="0" t="n">
        <v>9</v>
      </c>
      <c r="B116" s="0" t="n">
        <v>11</v>
      </c>
      <c r="C116" s="14" t="n">
        <v>60</v>
      </c>
      <c r="D116" s="15" t="n">
        <f aca="false">C116*$B$4</f>
        <v>60</v>
      </c>
      <c r="E116" s="16" t="n">
        <f aca="false">D116*4.3</f>
        <v>258</v>
      </c>
      <c r="F116" s="7" t="n">
        <f aca="false">$B$7</f>
        <v>4.5</v>
      </c>
      <c r="G116" s="5" t="n">
        <f aca="false">E116*F116</f>
        <v>1161</v>
      </c>
    </row>
    <row r="117" customFormat="false" ht="15" hidden="false" customHeight="false" outlineLevel="0" collapsed="false">
      <c r="A117" s="0" t="n">
        <v>9</v>
      </c>
      <c r="B117" s="0" t="n">
        <v>12</v>
      </c>
      <c r="C117" s="14" t="n">
        <v>60</v>
      </c>
      <c r="D117" s="15" t="n">
        <f aca="false">C117*$B$4</f>
        <v>60</v>
      </c>
      <c r="E117" s="16" t="n">
        <f aca="false">D117*4.3</f>
        <v>258</v>
      </c>
      <c r="F117" s="7" t="n">
        <f aca="false">$B$7</f>
        <v>4.5</v>
      </c>
      <c r="G117" s="5" t="n">
        <f aca="false">E117*F117</f>
        <v>1161</v>
      </c>
    </row>
    <row r="118" customFormat="false" ht="15" hidden="false" customHeight="false" outlineLevel="0" collapsed="false">
      <c r="A118" s="0" t="n">
        <v>10</v>
      </c>
      <c r="B118" s="0" t="n">
        <v>1</v>
      </c>
      <c r="C118" s="14" t="n">
        <v>60</v>
      </c>
      <c r="D118" s="15" t="n">
        <f aca="false">C118*$B$4</f>
        <v>60</v>
      </c>
      <c r="E118" s="16" t="n">
        <f aca="false">D118*4.3</f>
        <v>258</v>
      </c>
      <c r="F118" s="7" t="n">
        <f aca="false">$B$7</f>
        <v>4.5</v>
      </c>
      <c r="G118" s="5" t="n">
        <f aca="false">E118*F118</f>
        <v>1161</v>
      </c>
    </row>
    <row r="119" customFormat="false" ht="15" hidden="false" customHeight="false" outlineLevel="0" collapsed="false">
      <c r="A119" s="0" t="n">
        <v>10</v>
      </c>
      <c r="B119" s="0" t="n">
        <v>2</v>
      </c>
      <c r="C119" s="14" t="n">
        <v>60</v>
      </c>
      <c r="D119" s="15" t="n">
        <f aca="false">C119*$B$4</f>
        <v>60</v>
      </c>
      <c r="E119" s="16" t="n">
        <f aca="false">D119*4.3</f>
        <v>258</v>
      </c>
      <c r="F119" s="7" t="n">
        <f aca="false">$B$7</f>
        <v>4.5</v>
      </c>
      <c r="G119" s="5" t="n">
        <f aca="false">E119*F119</f>
        <v>1161</v>
      </c>
    </row>
    <row r="120" customFormat="false" ht="15" hidden="false" customHeight="false" outlineLevel="0" collapsed="false">
      <c r="A120" s="0" t="n">
        <v>10</v>
      </c>
      <c r="B120" s="0" t="n">
        <v>3</v>
      </c>
      <c r="C120" s="14" t="n">
        <v>60</v>
      </c>
      <c r="D120" s="15" t="n">
        <f aca="false">C120*$B$4</f>
        <v>60</v>
      </c>
      <c r="E120" s="16" t="n">
        <f aca="false">D120*4.3</f>
        <v>258</v>
      </c>
      <c r="F120" s="7" t="n">
        <f aca="false">$B$7</f>
        <v>4.5</v>
      </c>
      <c r="G120" s="5" t="n">
        <f aca="false">E120*F120</f>
        <v>1161</v>
      </c>
    </row>
    <row r="121" customFormat="false" ht="15" hidden="false" customHeight="false" outlineLevel="0" collapsed="false">
      <c r="A121" s="0" t="n">
        <v>10</v>
      </c>
      <c r="B121" s="0" t="n">
        <v>4</v>
      </c>
      <c r="C121" s="14" t="n">
        <v>60</v>
      </c>
      <c r="D121" s="15" t="n">
        <f aca="false">C121*$B$4</f>
        <v>60</v>
      </c>
      <c r="E121" s="16" t="n">
        <f aca="false">D121*4.3</f>
        <v>258</v>
      </c>
      <c r="F121" s="7" t="n">
        <f aca="false">$B$7</f>
        <v>4.5</v>
      </c>
      <c r="G121" s="5" t="n">
        <f aca="false">E121*F121</f>
        <v>1161</v>
      </c>
    </row>
    <row r="122" customFormat="false" ht="15" hidden="false" customHeight="false" outlineLevel="0" collapsed="false">
      <c r="A122" s="0" t="n">
        <v>10</v>
      </c>
      <c r="B122" s="0" t="n">
        <v>5</v>
      </c>
      <c r="C122" s="14" t="n">
        <v>60</v>
      </c>
      <c r="D122" s="15" t="n">
        <f aca="false">C122*$B$4</f>
        <v>60</v>
      </c>
      <c r="E122" s="16" t="n">
        <f aca="false">D122*4.3</f>
        <v>258</v>
      </c>
      <c r="F122" s="7" t="n">
        <f aca="false">$B$7</f>
        <v>4.5</v>
      </c>
      <c r="G122" s="5" t="n">
        <f aca="false">E122*F122</f>
        <v>1161</v>
      </c>
    </row>
    <row r="123" customFormat="false" ht="15" hidden="false" customHeight="false" outlineLevel="0" collapsed="false">
      <c r="A123" s="0" t="n">
        <v>10</v>
      </c>
      <c r="B123" s="0" t="n">
        <v>6</v>
      </c>
      <c r="C123" s="14" t="n">
        <v>60</v>
      </c>
      <c r="D123" s="15" t="n">
        <f aca="false">C123*$B$4</f>
        <v>60</v>
      </c>
      <c r="E123" s="16" t="n">
        <f aca="false">D123*4.3</f>
        <v>258</v>
      </c>
      <c r="F123" s="7" t="n">
        <f aca="false">$B$7</f>
        <v>4.5</v>
      </c>
      <c r="G123" s="5" t="n">
        <f aca="false">E123*F123</f>
        <v>1161</v>
      </c>
    </row>
    <row r="124" customFormat="false" ht="15" hidden="false" customHeight="false" outlineLevel="0" collapsed="false">
      <c r="A124" s="0" t="n">
        <v>10</v>
      </c>
      <c r="B124" s="0" t="n">
        <v>7</v>
      </c>
      <c r="C124" s="14" t="n">
        <v>60</v>
      </c>
      <c r="D124" s="15" t="n">
        <f aca="false">C124*$B$4</f>
        <v>60</v>
      </c>
      <c r="E124" s="16" t="n">
        <f aca="false">D124*4.3</f>
        <v>258</v>
      </c>
      <c r="F124" s="7" t="n">
        <f aca="false">$B$7</f>
        <v>4.5</v>
      </c>
      <c r="G124" s="5" t="n">
        <f aca="false">E124*F124</f>
        <v>1161</v>
      </c>
    </row>
    <row r="125" customFormat="false" ht="15" hidden="false" customHeight="false" outlineLevel="0" collapsed="false">
      <c r="A125" s="0" t="n">
        <v>10</v>
      </c>
      <c r="B125" s="0" t="n">
        <v>8</v>
      </c>
      <c r="C125" s="14" t="n">
        <v>60</v>
      </c>
      <c r="D125" s="15" t="n">
        <f aca="false">C125*$B$4</f>
        <v>60</v>
      </c>
      <c r="E125" s="16" t="n">
        <f aca="false">D125*4.3</f>
        <v>258</v>
      </c>
      <c r="F125" s="7" t="n">
        <f aca="false">$B$7</f>
        <v>4.5</v>
      </c>
      <c r="G125" s="5" t="n">
        <f aca="false">E125*F125</f>
        <v>1161</v>
      </c>
    </row>
    <row r="126" customFormat="false" ht="15" hidden="false" customHeight="false" outlineLevel="0" collapsed="false">
      <c r="A126" s="0" t="n">
        <v>10</v>
      </c>
      <c r="B126" s="0" t="n">
        <v>9</v>
      </c>
      <c r="C126" s="14" t="n">
        <v>60</v>
      </c>
      <c r="D126" s="15" t="n">
        <f aca="false">C126*$B$4</f>
        <v>60</v>
      </c>
      <c r="E126" s="16" t="n">
        <f aca="false">D126*4.3</f>
        <v>258</v>
      </c>
      <c r="F126" s="7" t="n">
        <f aca="false">$B$7</f>
        <v>4.5</v>
      </c>
      <c r="G126" s="5" t="n">
        <f aca="false">E126*F126</f>
        <v>1161</v>
      </c>
    </row>
    <row r="127" customFormat="false" ht="15" hidden="false" customHeight="false" outlineLevel="0" collapsed="false">
      <c r="A127" s="0" t="n">
        <v>10</v>
      </c>
      <c r="B127" s="0" t="n">
        <v>10</v>
      </c>
      <c r="C127" s="14" t="n">
        <v>60</v>
      </c>
      <c r="D127" s="15" t="n">
        <f aca="false">C127*$B$4</f>
        <v>60</v>
      </c>
      <c r="E127" s="16" t="n">
        <f aca="false">D127*4.3</f>
        <v>258</v>
      </c>
      <c r="F127" s="7" t="n">
        <f aca="false">$B$7</f>
        <v>4.5</v>
      </c>
      <c r="G127" s="5" t="n">
        <f aca="false">E127*F127</f>
        <v>1161</v>
      </c>
    </row>
    <row r="128" customFormat="false" ht="15" hidden="false" customHeight="false" outlineLevel="0" collapsed="false">
      <c r="A128" s="0" t="n">
        <v>10</v>
      </c>
      <c r="B128" s="0" t="n">
        <v>11</v>
      </c>
      <c r="C128" s="14" t="n">
        <v>60</v>
      </c>
      <c r="D128" s="15" t="n">
        <f aca="false">C128*$B$4</f>
        <v>60</v>
      </c>
      <c r="E128" s="16" t="n">
        <f aca="false">D128*4.3</f>
        <v>258</v>
      </c>
      <c r="F128" s="7" t="n">
        <f aca="false">$B$7</f>
        <v>4.5</v>
      </c>
      <c r="G128" s="5" t="n">
        <f aca="false">E128*F128</f>
        <v>1161</v>
      </c>
    </row>
    <row r="129" customFormat="false" ht="15" hidden="false" customHeight="false" outlineLevel="0" collapsed="false">
      <c r="A129" s="0" t="n">
        <v>10</v>
      </c>
      <c r="B129" s="0" t="n">
        <v>12</v>
      </c>
      <c r="C129" s="14" t="n">
        <v>60</v>
      </c>
      <c r="D129" s="15" t="n">
        <f aca="false">C129*$B$4</f>
        <v>60</v>
      </c>
      <c r="E129" s="16" t="n">
        <f aca="false">D129*4.3</f>
        <v>258</v>
      </c>
      <c r="F129" s="7" t="n">
        <f aca="false">$B$7</f>
        <v>4.5</v>
      </c>
      <c r="G129" s="5" t="n">
        <f aca="false">E129*F129</f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2026-05-04T18:22:16Z</dcterms:created>
  <dc:creator>openpyxl</dc:creator>
  <dc:description/>
  <dc:language>en-US</dc:language>
  <cp:lastModifiedBy/>
  <dcterms:modified xsi:type="dcterms:W3CDTF">2026-05-04T15:56:21Z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