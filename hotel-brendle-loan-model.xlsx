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10-Year Cash Flow" sheetId="2" state="visible" r:id="rId2"/>
    <sheet name="Annual Summary" sheetId="3" state="visible" r:id="rId3"/>
    <sheet name="Debt Service Schedule" sheetId="4" state="visible" r:id="rId4"/>
    <sheet name="Sources &amp; U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%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4" fontId="2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BRENDLE LOAN REQUEST</t>
        </is>
      </c>
    </row>
    <row r="3">
      <c r="A3" t="inlineStr">
        <is>
          <t>Property:</t>
        </is>
      </c>
      <c r="B3" t="inlineStr">
        <is>
          <t>601 E Ave A, Robstown, TX 78380</t>
        </is>
      </c>
    </row>
    <row r="4">
      <c r="A4" t="inlineStr">
        <is>
          <t>Total Rooms:</t>
        </is>
      </c>
      <c r="B4" t="n">
        <v>67</v>
      </c>
    </row>
    <row r="6">
      <c r="A6" s="2" t="inlineStr">
        <is>
          <t>LOAN REQUEST:</t>
        </is>
      </c>
    </row>
    <row r="7">
      <c r="A7" t="inlineStr">
        <is>
          <t>Total Amount</t>
        </is>
      </c>
      <c r="B7" s="3" t="n">
        <v>850000</v>
      </c>
    </row>
    <row r="9">
      <c r="A9" t="inlineStr">
        <is>
          <t>USE OF PROCEEDS:</t>
        </is>
      </c>
    </row>
    <row r="10">
      <c r="A10" t="inlineStr">
        <is>
          <t>Debt Payoff</t>
        </is>
      </c>
      <c r="B10" s="3" t="n">
        <v>150000</v>
      </c>
    </row>
    <row r="11">
      <c r="A11" t="inlineStr">
        <is>
          <t>Amenities/Jobsite</t>
        </is>
      </c>
      <c r="B11" s="3" t="n">
        <v>100000</v>
      </c>
    </row>
    <row r="12">
      <c r="A12" t="inlineStr">
        <is>
          <t>Room Renovation</t>
        </is>
      </c>
      <c r="B12" s="3" t="n">
        <v>600000</v>
      </c>
    </row>
    <row r="13">
      <c r="A13" t="inlineStr">
        <is>
          <t>Total</t>
        </is>
      </c>
      <c r="B13" s="4">
        <f>SUM(B10:B12)</f>
        <v/>
      </c>
    </row>
    <row r="15">
      <c r="A15" t="inlineStr">
        <is>
          <t>TERMS:</t>
        </is>
      </c>
    </row>
    <row r="16">
      <c r="A16" t="inlineStr">
        <is>
          <t>Rate</t>
        </is>
      </c>
      <c r="B16" s="5" t="n">
        <v>0.075</v>
      </c>
    </row>
    <row r="17">
      <c r="A17" t="inlineStr">
        <is>
          <t>Term</t>
        </is>
      </c>
      <c r="B17" t="inlineStr">
        <is>
          <t>25 years</t>
        </is>
      </c>
    </row>
    <row r="18">
      <c r="A18" t="inlineStr">
        <is>
          <t>Monthly P&amp;I</t>
        </is>
      </c>
      <c r="B18" s="6" t="n">
        <v>6281.43</v>
      </c>
    </row>
    <row r="19">
      <c r="A19" t="inlineStr">
        <is>
          <t>Annual Debt Service</t>
        </is>
      </c>
      <c r="B19" s="3">
        <f>B18*12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10-YEAR MONTHLY CASH FLOW PROJECTION</t>
        </is>
      </c>
    </row>
    <row r="3">
      <c r="A3" s="2" t="inlineStr">
        <is>
          <t>Year</t>
        </is>
      </c>
      <c r="B3" s="2" t="inlineStr">
        <is>
          <t>Month</t>
        </is>
      </c>
      <c r="C3" s="2" t="inlineStr">
        <is>
          <t>Rooms</t>
        </is>
      </c>
      <c r="D3" s="2" t="inlineStr">
        <is>
          <t>Occ%</t>
        </is>
      </c>
      <c r="E3" s="2" t="inlineStr">
        <is>
          <t>Rent</t>
        </is>
      </c>
      <c r="F3" s="2" t="inlineStr">
        <is>
          <t>Revenue</t>
        </is>
      </c>
      <c r="G3" s="2" t="inlineStr">
        <is>
          <t>Expenses</t>
        </is>
      </c>
      <c r="H3" s="2" t="inlineStr">
        <is>
          <t>NOI</t>
        </is>
      </c>
      <c r="I3" s="2" t="inlineStr">
        <is>
          <t>Debt Svc</t>
        </is>
      </c>
      <c r="J3" s="2" t="inlineStr">
        <is>
          <t>Cash Flow</t>
        </is>
      </c>
      <c r="K3" s="2" t="inlineStr">
        <is>
          <t>DSCR</t>
        </is>
      </c>
    </row>
    <row r="4">
      <c r="A4" t="n">
        <v>1</v>
      </c>
      <c r="B4" t="n">
        <v>1</v>
      </c>
      <c r="C4" t="n">
        <v>24</v>
      </c>
      <c r="D4" s="8" t="n">
        <v>0.6</v>
      </c>
      <c r="E4" s="3" t="n">
        <v>852</v>
      </c>
      <c r="F4" s="3">
        <f>C4*D4*E4</f>
        <v/>
      </c>
      <c r="G4" s="3">
        <f>C4*344.38</f>
        <v/>
      </c>
      <c r="H4" s="3">
        <f>F4-G4</f>
        <v/>
      </c>
      <c r="I4" s="3" t="n">
        <v>6281.43</v>
      </c>
      <c r="J4" s="3">
        <f>H4-I4</f>
        <v/>
      </c>
      <c r="K4" s="9">
        <f>H4/I4</f>
        <v/>
      </c>
    </row>
    <row r="5">
      <c r="A5" t="n">
        <v>1</v>
      </c>
      <c r="B5" t="n">
        <v>2</v>
      </c>
      <c r="C5" t="n">
        <v>31</v>
      </c>
      <c r="D5" s="8" t="n">
        <v>0.6</v>
      </c>
      <c r="E5" s="3" t="n">
        <v>852</v>
      </c>
      <c r="F5" s="3">
        <f>C5*D5*E5</f>
        <v/>
      </c>
      <c r="G5" s="3">
        <f>C5*344.38</f>
        <v/>
      </c>
      <c r="H5" s="3">
        <f>F5-G5</f>
        <v/>
      </c>
      <c r="I5" s="3" t="n">
        <v>6281.43</v>
      </c>
      <c r="J5" s="3">
        <f>H5-I5</f>
        <v/>
      </c>
      <c r="K5" s="9">
        <f>H5/I5</f>
        <v/>
      </c>
    </row>
    <row r="6">
      <c r="A6" t="n">
        <v>1</v>
      </c>
      <c r="B6" t="n">
        <v>3</v>
      </c>
      <c r="C6" t="n">
        <v>38</v>
      </c>
      <c r="D6" s="8" t="n">
        <v>0.6</v>
      </c>
      <c r="E6" s="3" t="n">
        <v>852</v>
      </c>
      <c r="F6" s="3">
        <f>C6*D6*E6</f>
        <v/>
      </c>
      <c r="G6" s="3">
        <f>C6*344.38</f>
        <v/>
      </c>
      <c r="H6" s="3">
        <f>F6-G6</f>
        <v/>
      </c>
      <c r="I6" s="3" t="n">
        <v>6281.43</v>
      </c>
      <c r="J6" s="3">
        <f>H6-I6</f>
        <v/>
      </c>
      <c r="K6" s="9">
        <f>H6/I6</f>
        <v/>
      </c>
    </row>
    <row r="7">
      <c r="A7" t="n">
        <v>1</v>
      </c>
      <c r="B7" t="n">
        <v>4</v>
      </c>
      <c r="C7" t="n">
        <v>46</v>
      </c>
      <c r="D7" s="8" t="n">
        <v>0.6</v>
      </c>
      <c r="E7" s="3" t="n">
        <v>852</v>
      </c>
      <c r="F7" s="3">
        <f>C7*D7*E7</f>
        <v/>
      </c>
      <c r="G7" s="3">
        <f>C7*344.38</f>
        <v/>
      </c>
      <c r="H7" s="3">
        <f>F7-G7</f>
        <v/>
      </c>
      <c r="I7" s="3" t="n">
        <v>6281.43</v>
      </c>
      <c r="J7" s="3">
        <f>H7-I7</f>
        <v/>
      </c>
      <c r="K7" s="9">
        <f>H7/I7</f>
        <v/>
      </c>
    </row>
    <row r="8">
      <c r="A8" t="n">
        <v>1</v>
      </c>
      <c r="B8" t="n">
        <v>5</v>
      </c>
      <c r="C8" t="n">
        <v>53</v>
      </c>
      <c r="D8" s="8" t="n">
        <v>0.6</v>
      </c>
      <c r="E8" s="3" t="n">
        <v>852</v>
      </c>
      <c r="F8" s="3">
        <f>C8*D8*E8</f>
        <v/>
      </c>
      <c r="G8" s="3">
        <f>C8*344.38</f>
        <v/>
      </c>
      <c r="H8" s="3">
        <f>F8-G8</f>
        <v/>
      </c>
      <c r="I8" s="3" t="n">
        <v>6281.43</v>
      </c>
      <c r="J8" s="3">
        <f>H8-I8</f>
        <v/>
      </c>
      <c r="K8" s="9">
        <f>H8/I8</f>
        <v/>
      </c>
    </row>
    <row r="9">
      <c r="A9" t="n">
        <v>1</v>
      </c>
      <c r="B9" t="n">
        <v>6</v>
      </c>
      <c r="C9" t="n">
        <v>60</v>
      </c>
      <c r="D9" s="8" t="n">
        <v>0.6</v>
      </c>
      <c r="E9" s="3" t="n">
        <v>852</v>
      </c>
      <c r="F9" s="3">
        <f>C9*D9*E9</f>
        <v/>
      </c>
      <c r="G9" s="3">
        <f>C9*344.38</f>
        <v/>
      </c>
      <c r="H9" s="3">
        <f>F9-G9</f>
        <v/>
      </c>
      <c r="I9" s="3" t="n">
        <v>6281.43</v>
      </c>
      <c r="J9" s="3">
        <f>H9-I9</f>
        <v/>
      </c>
      <c r="K9" s="9">
        <f>H9/I9</f>
        <v/>
      </c>
    </row>
    <row r="10">
      <c r="A10" t="n">
        <v>1</v>
      </c>
      <c r="B10" t="n">
        <v>7</v>
      </c>
      <c r="C10" t="n">
        <v>67</v>
      </c>
      <c r="D10" s="8" t="n">
        <v>0.7</v>
      </c>
      <c r="E10" s="3" t="n">
        <v>850</v>
      </c>
      <c r="F10" s="3">
        <f>C10*D10*E10</f>
        <v/>
      </c>
      <c r="G10" s="3">
        <f>C10*344.38</f>
        <v/>
      </c>
      <c r="H10" s="3">
        <f>F10-G10</f>
        <v/>
      </c>
      <c r="I10" s="3" t="n">
        <v>6281.43</v>
      </c>
      <c r="J10" s="3">
        <f>H10-I10</f>
        <v/>
      </c>
      <c r="K10" s="9">
        <f>H10/I10</f>
        <v/>
      </c>
    </row>
    <row r="11">
      <c r="A11" t="n">
        <v>1</v>
      </c>
      <c r="B11" t="n">
        <v>8</v>
      </c>
      <c r="C11" t="n">
        <v>67</v>
      </c>
      <c r="D11" s="8" t="n">
        <v>0.7083333333333333</v>
      </c>
      <c r="E11" s="3" t="n">
        <v>850</v>
      </c>
      <c r="F11" s="3">
        <f>C11*D11*E11</f>
        <v/>
      </c>
      <c r="G11" s="3">
        <f>C11*344.38</f>
        <v/>
      </c>
      <c r="H11" s="3">
        <f>F11-G11</f>
        <v/>
      </c>
      <c r="I11" s="3" t="n">
        <v>6281.43</v>
      </c>
      <c r="J11" s="3">
        <f>H11-I11</f>
        <v/>
      </c>
      <c r="K11" s="9">
        <f>H11/I11</f>
        <v/>
      </c>
    </row>
    <row r="12">
      <c r="A12" t="n">
        <v>1</v>
      </c>
      <c r="B12" t="n">
        <v>9</v>
      </c>
      <c r="C12" t="n">
        <v>67</v>
      </c>
      <c r="D12" s="8" t="n">
        <v>0.7166666666666667</v>
      </c>
      <c r="E12" s="3" t="n">
        <v>850</v>
      </c>
      <c r="F12" s="3">
        <f>C12*D12*E12</f>
        <v/>
      </c>
      <c r="G12" s="3">
        <f>C12*344.38</f>
        <v/>
      </c>
      <c r="H12" s="3">
        <f>F12-G12</f>
        <v/>
      </c>
      <c r="I12" s="3" t="n">
        <v>6281.43</v>
      </c>
      <c r="J12" s="3">
        <f>H12-I12</f>
        <v/>
      </c>
      <c r="K12" s="9">
        <f>H12/I12</f>
        <v/>
      </c>
    </row>
    <row r="13">
      <c r="A13" t="n">
        <v>1</v>
      </c>
      <c r="B13" t="n">
        <v>10</v>
      </c>
      <c r="C13" t="n">
        <v>67</v>
      </c>
      <c r="D13" s="8" t="n">
        <v>0.725</v>
      </c>
      <c r="E13" s="3" t="n">
        <v>850</v>
      </c>
      <c r="F13" s="3">
        <f>C13*D13*E13</f>
        <v/>
      </c>
      <c r="G13" s="3">
        <f>C13*344.38</f>
        <v/>
      </c>
      <c r="H13" s="3">
        <f>F13-G13</f>
        <v/>
      </c>
      <c r="I13" s="3" t="n">
        <v>6281.43</v>
      </c>
      <c r="J13" s="3">
        <f>H13-I13</f>
        <v/>
      </c>
      <c r="K13" s="9">
        <f>H13/I13</f>
        <v/>
      </c>
    </row>
    <row r="14">
      <c r="A14" t="n">
        <v>1</v>
      </c>
      <c r="B14" t="n">
        <v>11</v>
      </c>
      <c r="C14" t="n">
        <v>67</v>
      </c>
      <c r="D14" s="8" t="n">
        <v>0.7333333333333333</v>
      </c>
      <c r="E14" s="3" t="n">
        <v>850</v>
      </c>
      <c r="F14" s="3">
        <f>C14*D14*E14</f>
        <v/>
      </c>
      <c r="G14" s="3">
        <f>C14*344.38</f>
        <v/>
      </c>
      <c r="H14" s="3">
        <f>F14-G14</f>
        <v/>
      </c>
      <c r="I14" s="3" t="n">
        <v>6281.43</v>
      </c>
      <c r="J14" s="3">
        <f>H14-I14</f>
        <v/>
      </c>
      <c r="K14" s="9">
        <f>H14/I14</f>
        <v/>
      </c>
    </row>
    <row r="15">
      <c r="A15" t="n">
        <v>1</v>
      </c>
      <c r="B15" t="n">
        <v>12</v>
      </c>
      <c r="C15" t="n">
        <v>67</v>
      </c>
      <c r="D15" s="8" t="n">
        <v>0.7416666666666666</v>
      </c>
      <c r="E15" s="3" t="n">
        <v>850</v>
      </c>
      <c r="F15" s="3">
        <f>C15*D15*E15</f>
        <v/>
      </c>
      <c r="G15" s="3">
        <f>C15*344.38</f>
        <v/>
      </c>
      <c r="H15" s="3">
        <f>F15-G15</f>
        <v/>
      </c>
      <c r="I15" s="3" t="n">
        <v>6281.43</v>
      </c>
      <c r="J15" s="3">
        <f>H15-I15</f>
        <v/>
      </c>
      <c r="K15" s="9">
        <f>H15/I15</f>
        <v/>
      </c>
    </row>
    <row r="16">
      <c r="A16" t="n">
        <v>2</v>
      </c>
      <c r="B16" t="n">
        <v>1</v>
      </c>
      <c r="C16" t="n">
        <v>67</v>
      </c>
      <c r="D16" s="8" t="n">
        <v>0.75</v>
      </c>
      <c r="E16" s="3" t="n">
        <v>850</v>
      </c>
      <c r="F16" s="3">
        <f>C16*D16*E16</f>
        <v/>
      </c>
      <c r="G16" s="3">
        <f>C16*344.38</f>
        <v/>
      </c>
      <c r="H16" s="3">
        <f>F16-G16</f>
        <v/>
      </c>
      <c r="I16" s="3" t="n">
        <v>6281.43</v>
      </c>
      <c r="J16" s="3">
        <f>H16-I16</f>
        <v/>
      </c>
      <c r="K16" s="9">
        <f>H16/I16</f>
        <v/>
      </c>
    </row>
    <row r="17">
      <c r="A17" t="n">
        <v>2</v>
      </c>
      <c r="B17" t="n">
        <v>2</v>
      </c>
      <c r="C17" t="n">
        <v>67</v>
      </c>
      <c r="D17" s="8" t="n">
        <v>0.75</v>
      </c>
      <c r="E17" s="3" t="n">
        <v>850</v>
      </c>
      <c r="F17" s="3">
        <f>C17*D17*E17</f>
        <v/>
      </c>
      <c r="G17" s="3">
        <f>C17*344.38</f>
        <v/>
      </c>
      <c r="H17" s="3">
        <f>F17-G17</f>
        <v/>
      </c>
      <c r="I17" s="3" t="n">
        <v>6281.43</v>
      </c>
      <c r="J17" s="3">
        <f>H17-I17</f>
        <v/>
      </c>
      <c r="K17" s="9">
        <f>H17/I17</f>
        <v/>
      </c>
    </row>
    <row r="18">
      <c r="A18" t="n">
        <v>2</v>
      </c>
      <c r="B18" t="n">
        <v>3</v>
      </c>
      <c r="C18" t="n">
        <v>67</v>
      </c>
      <c r="D18" s="8" t="n">
        <v>0.75</v>
      </c>
      <c r="E18" s="3" t="n">
        <v>850</v>
      </c>
      <c r="F18" s="3">
        <f>C18*D18*E18</f>
        <v/>
      </c>
      <c r="G18" s="3">
        <f>C18*344.38</f>
        <v/>
      </c>
      <c r="H18" s="3">
        <f>F18-G18</f>
        <v/>
      </c>
      <c r="I18" s="3" t="n">
        <v>6281.43</v>
      </c>
      <c r="J18" s="3">
        <f>H18-I18</f>
        <v/>
      </c>
      <c r="K18" s="9">
        <f>H18/I18</f>
        <v/>
      </c>
    </row>
    <row r="19">
      <c r="A19" t="n">
        <v>2</v>
      </c>
      <c r="B19" t="n">
        <v>4</v>
      </c>
      <c r="C19" t="n">
        <v>67</v>
      </c>
      <c r="D19" s="8" t="n">
        <v>0.75</v>
      </c>
      <c r="E19" s="3" t="n">
        <v>850</v>
      </c>
      <c r="F19" s="3">
        <f>C19*D19*E19</f>
        <v/>
      </c>
      <c r="G19" s="3">
        <f>C19*344.38</f>
        <v/>
      </c>
      <c r="H19" s="3">
        <f>F19-G19</f>
        <v/>
      </c>
      <c r="I19" s="3" t="n">
        <v>6281.43</v>
      </c>
      <c r="J19" s="3">
        <f>H19-I19</f>
        <v/>
      </c>
      <c r="K19" s="9">
        <f>H19/I19</f>
        <v/>
      </c>
    </row>
    <row r="20">
      <c r="A20" t="n">
        <v>2</v>
      </c>
      <c r="B20" t="n">
        <v>5</v>
      </c>
      <c r="C20" t="n">
        <v>67</v>
      </c>
      <c r="D20" s="8" t="n">
        <v>0.75</v>
      </c>
      <c r="E20" s="3" t="n">
        <v>850</v>
      </c>
      <c r="F20" s="3">
        <f>C20*D20*E20</f>
        <v/>
      </c>
      <c r="G20" s="3">
        <f>C20*344.38</f>
        <v/>
      </c>
      <c r="H20" s="3">
        <f>F20-G20</f>
        <v/>
      </c>
      <c r="I20" s="3" t="n">
        <v>6281.43</v>
      </c>
      <c r="J20" s="3">
        <f>H20-I20</f>
        <v/>
      </c>
      <c r="K20" s="9">
        <f>H20/I20</f>
        <v/>
      </c>
    </row>
    <row r="21">
      <c r="A21" t="n">
        <v>2</v>
      </c>
      <c r="B21" t="n">
        <v>6</v>
      </c>
      <c r="C21" t="n">
        <v>67</v>
      </c>
      <c r="D21" s="8" t="n">
        <v>0.75</v>
      </c>
      <c r="E21" s="3" t="n">
        <v>850</v>
      </c>
      <c r="F21" s="3">
        <f>C21*D21*E21</f>
        <v/>
      </c>
      <c r="G21" s="3">
        <f>C21*344.38</f>
        <v/>
      </c>
      <c r="H21" s="3">
        <f>F21-G21</f>
        <v/>
      </c>
      <c r="I21" s="3" t="n">
        <v>6281.43</v>
      </c>
      <c r="J21" s="3">
        <f>H21-I21</f>
        <v/>
      </c>
      <c r="K21" s="9">
        <f>H21/I21</f>
        <v/>
      </c>
    </row>
    <row r="22">
      <c r="A22" t="n">
        <v>2</v>
      </c>
      <c r="B22" t="n">
        <v>7</v>
      </c>
      <c r="C22" t="n">
        <v>67</v>
      </c>
      <c r="D22" s="8" t="n">
        <v>0.75</v>
      </c>
      <c r="E22" s="3" t="n">
        <v>850</v>
      </c>
      <c r="F22" s="3">
        <f>C22*D22*E22</f>
        <v/>
      </c>
      <c r="G22" s="3">
        <f>C22*344.38</f>
        <v/>
      </c>
      <c r="H22" s="3">
        <f>F22-G22</f>
        <v/>
      </c>
      <c r="I22" s="3" t="n">
        <v>6281.43</v>
      </c>
      <c r="J22" s="3">
        <f>H22-I22</f>
        <v/>
      </c>
      <c r="K22" s="9">
        <f>H22/I22</f>
        <v/>
      </c>
    </row>
    <row r="23">
      <c r="A23" t="n">
        <v>2</v>
      </c>
      <c r="B23" t="n">
        <v>8</v>
      </c>
      <c r="C23" t="n">
        <v>67</v>
      </c>
      <c r="D23" s="8" t="n">
        <v>0.75</v>
      </c>
      <c r="E23" s="3" t="n">
        <v>850</v>
      </c>
      <c r="F23" s="3">
        <f>C23*D23*E23</f>
        <v/>
      </c>
      <c r="G23" s="3">
        <f>C23*344.38</f>
        <v/>
      </c>
      <c r="H23" s="3">
        <f>F23-G23</f>
        <v/>
      </c>
      <c r="I23" s="3" t="n">
        <v>6281.43</v>
      </c>
      <c r="J23" s="3">
        <f>H23-I23</f>
        <v/>
      </c>
      <c r="K23" s="9">
        <f>H23/I23</f>
        <v/>
      </c>
    </row>
    <row r="24">
      <c r="A24" t="n">
        <v>2</v>
      </c>
      <c r="B24" t="n">
        <v>9</v>
      </c>
      <c r="C24" t="n">
        <v>67</v>
      </c>
      <c r="D24" s="8" t="n">
        <v>0.75</v>
      </c>
      <c r="E24" s="3" t="n">
        <v>850</v>
      </c>
      <c r="F24" s="3">
        <f>C24*D24*E24</f>
        <v/>
      </c>
      <c r="G24" s="3">
        <f>C24*344.38</f>
        <v/>
      </c>
      <c r="H24" s="3">
        <f>F24-G24</f>
        <v/>
      </c>
      <c r="I24" s="3" t="n">
        <v>6281.43</v>
      </c>
      <c r="J24" s="3">
        <f>H24-I24</f>
        <v/>
      </c>
      <c r="K24" s="9">
        <f>H24/I24</f>
        <v/>
      </c>
    </row>
    <row r="25">
      <c r="A25" t="n">
        <v>2</v>
      </c>
      <c r="B25" t="n">
        <v>10</v>
      </c>
      <c r="C25" t="n">
        <v>67</v>
      </c>
      <c r="D25" s="8" t="n">
        <v>0.75</v>
      </c>
      <c r="E25" s="3" t="n">
        <v>850</v>
      </c>
      <c r="F25" s="3">
        <f>C25*D25*E25</f>
        <v/>
      </c>
      <c r="G25" s="3">
        <f>C25*344.38</f>
        <v/>
      </c>
      <c r="H25" s="3">
        <f>F25-G25</f>
        <v/>
      </c>
      <c r="I25" s="3" t="n">
        <v>6281.43</v>
      </c>
      <c r="J25" s="3">
        <f>H25-I25</f>
        <v/>
      </c>
      <c r="K25" s="9">
        <f>H25/I25</f>
        <v/>
      </c>
    </row>
    <row r="26">
      <c r="A26" t="n">
        <v>2</v>
      </c>
      <c r="B26" t="n">
        <v>11</v>
      </c>
      <c r="C26" t="n">
        <v>67</v>
      </c>
      <c r="D26" s="8" t="n">
        <v>0.75</v>
      </c>
      <c r="E26" s="3" t="n">
        <v>850</v>
      </c>
      <c r="F26" s="3">
        <f>C26*D26*E26</f>
        <v/>
      </c>
      <c r="G26" s="3">
        <f>C26*344.38</f>
        <v/>
      </c>
      <c r="H26" s="3">
        <f>F26-G26</f>
        <v/>
      </c>
      <c r="I26" s="3" t="n">
        <v>6281.43</v>
      </c>
      <c r="J26" s="3">
        <f>H26-I26</f>
        <v/>
      </c>
      <c r="K26" s="9">
        <f>H26/I26</f>
        <v/>
      </c>
    </row>
    <row r="27">
      <c r="A27" t="n">
        <v>2</v>
      </c>
      <c r="B27" t="n">
        <v>12</v>
      </c>
      <c r="C27" t="n">
        <v>67</v>
      </c>
      <c r="D27" s="8" t="n">
        <v>0.75</v>
      </c>
      <c r="E27" s="3" t="n">
        <v>850</v>
      </c>
      <c r="F27" s="3">
        <f>C27*D27*E27</f>
        <v/>
      </c>
      <c r="G27" s="3">
        <f>C27*344.38</f>
        <v/>
      </c>
      <c r="H27" s="3">
        <f>F27-G27</f>
        <v/>
      </c>
      <c r="I27" s="3" t="n">
        <v>6281.43</v>
      </c>
      <c r="J27" s="3">
        <f>H27-I27</f>
        <v/>
      </c>
      <c r="K27" s="9">
        <f>H27/I27</f>
        <v/>
      </c>
    </row>
    <row r="28">
      <c r="A28" t="n">
        <v>3</v>
      </c>
      <c r="B28" t="n">
        <v>1</v>
      </c>
      <c r="C28" t="n">
        <v>67</v>
      </c>
      <c r="D28" s="8" t="n">
        <v>0.75</v>
      </c>
      <c r="E28" s="3" t="n">
        <v>850</v>
      </c>
      <c r="F28" s="3">
        <f>C28*D28*E28</f>
        <v/>
      </c>
      <c r="G28" s="3">
        <f>C28*344.38</f>
        <v/>
      </c>
      <c r="H28" s="3">
        <f>F28-G28</f>
        <v/>
      </c>
      <c r="I28" s="3" t="n">
        <v>6281.43</v>
      </c>
      <c r="J28" s="3">
        <f>H28-I28</f>
        <v/>
      </c>
      <c r="K28" s="9">
        <f>H28/I28</f>
        <v/>
      </c>
    </row>
    <row r="29">
      <c r="A29" t="n">
        <v>3</v>
      </c>
      <c r="B29" t="n">
        <v>2</v>
      </c>
      <c r="C29" t="n">
        <v>67</v>
      </c>
      <c r="D29" s="8" t="n">
        <v>0.75</v>
      </c>
      <c r="E29" s="3" t="n">
        <v>850</v>
      </c>
      <c r="F29" s="3">
        <f>C29*D29*E29</f>
        <v/>
      </c>
      <c r="G29" s="3">
        <f>C29*344.38</f>
        <v/>
      </c>
      <c r="H29" s="3">
        <f>F29-G29</f>
        <v/>
      </c>
      <c r="I29" s="3" t="n">
        <v>6281.43</v>
      </c>
      <c r="J29" s="3">
        <f>H29-I29</f>
        <v/>
      </c>
      <c r="K29" s="9">
        <f>H29/I29</f>
        <v/>
      </c>
    </row>
    <row r="30">
      <c r="A30" t="n">
        <v>3</v>
      </c>
      <c r="B30" t="n">
        <v>3</v>
      </c>
      <c r="C30" t="n">
        <v>67</v>
      </c>
      <c r="D30" s="8" t="n">
        <v>0.75</v>
      </c>
      <c r="E30" s="3" t="n">
        <v>850</v>
      </c>
      <c r="F30" s="3">
        <f>C30*D30*E30</f>
        <v/>
      </c>
      <c r="G30" s="3">
        <f>C30*344.38</f>
        <v/>
      </c>
      <c r="H30" s="3">
        <f>F30-G30</f>
        <v/>
      </c>
      <c r="I30" s="3" t="n">
        <v>6281.43</v>
      </c>
      <c r="J30" s="3">
        <f>H30-I30</f>
        <v/>
      </c>
      <c r="K30" s="9">
        <f>H30/I30</f>
        <v/>
      </c>
    </row>
    <row r="31">
      <c r="A31" t="n">
        <v>3</v>
      </c>
      <c r="B31" t="n">
        <v>4</v>
      </c>
      <c r="C31" t="n">
        <v>67</v>
      </c>
      <c r="D31" s="8" t="n">
        <v>0.75</v>
      </c>
      <c r="E31" s="3" t="n">
        <v>850</v>
      </c>
      <c r="F31" s="3">
        <f>C31*D31*E31</f>
        <v/>
      </c>
      <c r="G31" s="3">
        <f>C31*344.38</f>
        <v/>
      </c>
      <c r="H31" s="3">
        <f>F31-G31</f>
        <v/>
      </c>
      <c r="I31" s="3" t="n">
        <v>6281.43</v>
      </c>
      <c r="J31" s="3">
        <f>H31-I31</f>
        <v/>
      </c>
      <c r="K31" s="9">
        <f>H31/I31</f>
        <v/>
      </c>
    </row>
    <row r="32">
      <c r="A32" t="n">
        <v>3</v>
      </c>
      <c r="B32" t="n">
        <v>5</v>
      </c>
      <c r="C32" t="n">
        <v>67</v>
      </c>
      <c r="D32" s="8" t="n">
        <v>0.75</v>
      </c>
      <c r="E32" s="3" t="n">
        <v>850</v>
      </c>
      <c r="F32" s="3">
        <f>C32*D32*E32</f>
        <v/>
      </c>
      <c r="G32" s="3">
        <f>C32*344.38</f>
        <v/>
      </c>
      <c r="H32" s="3">
        <f>F32-G32</f>
        <v/>
      </c>
      <c r="I32" s="3" t="n">
        <v>6281.43</v>
      </c>
      <c r="J32" s="3">
        <f>H32-I32</f>
        <v/>
      </c>
      <c r="K32" s="9">
        <f>H32/I32</f>
        <v/>
      </c>
    </row>
    <row r="33">
      <c r="A33" t="n">
        <v>3</v>
      </c>
      <c r="B33" t="n">
        <v>6</v>
      </c>
      <c r="C33" t="n">
        <v>67</v>
      </c>
      <c r="D33" s="8" t="n">
        <v>0.75</v>
      </c>
      <c r="E33" s="3" t="n">
        <v>850</v>
      </c>
      <c r="F33" s="3">
        <f>C33*D33*E33</f>
        <v/>
      </c>
      <c r="G33" s="3">
        <f>C33*344.38</f>
        <v/>
      </c>
      <c r="H33" s="3">
        <f>F33-G33</f>
        <v/>
      </c>
      <c r="I33" s="3" t="n">
        <v>6281.43</v>
      </c>
      <c r="J33" s="3">
        <f>H33-I33</f>
        <v/>
      </c>
      <c r="K33" s="9">
        <f>H33/I33</f>
        <v/>
      </c>
    </row>
    <row r="34">
      <c r="A34" t="n">
        <v>3</v>
      </c>
      <c r="B34" t="n">
        <v>7</v>
      </c>
      <c r="C34" t="n">
        <v>67</v>
      </c>
      <c r="D34" s="8" t="n">
        <v>0.75</v>
      </c>
      <c r="E34" s="3" t="n">
        <v>850</v>
      </c>
      <c r="F34" s="3">
        <f>C34*D34*E34</f>
        <v/>
      </c>
      <c r="G34" s="3">
        <f>C34*344.38</f>
        <v/>
      </c>
      <c r="H34" s="3">
        <f>F34-G34</f>
        <v/>
      </c>
      <c r="I34" s="3" t="n">
        <v>6281.43</v>
      </c>
      <c r="J34" s="3">
        <f>H34-I34</f>
        <v/>
      </c>
      <c r="K34" s="9">
        <f>H34/I34</f>
        <v/>
      </c>
    </row>
    <row r="35">
      <c r="A35" t="n">
        <v>3</v>
      </c>
      <c r="B35" t="n">
        <v>8</v>
      </c>
      <c r="C35" t="n">
        <v>67</v>
      </c>
      <c r="D35" s="8" t="n">
        <v>0.75</v>
      </c>
      <c r="E35" s="3" t="n">
        <v>850</v>
      </c>
      <c r="F35" s="3">
        <f>C35*D35*E35</f>
        <v/>
      </c>
      <c r="G35" s="3">
        <f>C35*344.38</f>
        <v/>
      </c>
      <c r="H35" s="3">
        <f>F35-G35</f>
        <v/>
      </c>
      <c r="I35" s="3" t="n">
        <v>6281.43</v>
      </c>
      <c r="J35" s="3">
        <f>H35-I35</f>
        <v/>
      </c>
      <c r="K35" s="9">
        <f>H35/I35</f>
        <v/>
      </c>
    </row>
    <row r="36">
      <c r="A36" t="n">
        <v>3</v>
      </c>
      <c r="B36" t="n">
        <v>9</v>
      </c>
      <c r="C36" t="n">
        <v>67</v>
      </c>
      <c r="D36" s="8" t="n">
        <v>0.75</v>
      </c>
      <c r="E36" s="3" t="n">
        <v>850</v>
      </c>
      <c r="F36" s="3">
        <f>C36*D36*E36</f>
        <v/>
      </c>
      <c r="G36" s="3">
        <f>C36*344.38</f>
        <v/>
      </c>
      <c r="H36" s="3">
        <f>F36-G36</f>
        <v/>
      </c>
      <c r="I36" s="3" t="n">
        <v>6281.43</v>
      </c>
      <c r="J36" s="3">
        <f>H36-I36</f>
        <v/>
      </c>
      <c r="K36" s="9">
        <f>H36/I36</f>
        <v/>
      </c>
    </row>
    <row r="37">
      <c r="A37" t="n">
        <v>3</v>
      </c>
      <c r="B37" t="n">
        <v>10</v>
      </c>
      <c r="C37" t="n">
        <v>67</v>
      </c>
      <c r="D37" s="8" t="n">
        <v>0.75</v>
      </c>
      <c r="E37" s="3" t="n">
        <v>850</v>
      </c>
      <c r="F37" s="3">
        <f>C37*D37*E37</f>
        <v/>
      </c>
      <c r="G37" s="3">
        <f>C37*344.38</f>
        <v/>
      </c>
      <c r="H37" s="3">
        <f>F37-G37</f>
        <v/>
      </c>
      <c r="I37" s="3" t="n">
        <v>6281.43</v>
      </c>
      <c r="J37" s="3">
        <f>H37-I37</f>
        <v/>
      </c>
      <c r="K37" s="9">
        <f>H37/I37</f>
        <v/>
      </c>
    </row>
    <row r="38">
      <c r="A38" t="n">
        <v>3</v>
      </c>
      <c r="B38" t="n">
        <v>11</v>
      </c>
      <c r="C38" t="n">
        <v>67</v>
      </c>
      <c r="D38" s="8" t="n">
        <v>0.75</v>
      </c>
      <c r="E38" s="3" t="n">
        <v>850</v>
      </c>
      <c r="F38" s="3">
        <f>C38*D38*E38</f>
        <v/>
      </c>
      <c r="G38" s="3">
        <f>C38*344.38</f>
        <v/>
      </c>
      <c r="H38" s="3">
        <f>F38-G38</f>
        <v/>
      </c>
      <c r="I38" s="3" t="n">
        <v>6281.43</v>
      </c>
      <c r="J38" s="3">
        <f>H38-I38</f>
        <v/>
      </c>
      <c r="K38" s="9">
        <f>H38/I38</f>
        <v/>
      </c>
    </row>
    <row r="39">
      <c r="A39" t="n">
        <v>3</v>
      </c>
      <c r="B39" t="n">
        <v>12</v>
      </c>
      <c r="C39" t="n">
        <v>67</v>
      </c>
      <c r="D39" s="8" t="n">
        <v>0.75</v>
      </c>
      <c r="E39" s="3" t="n">
        <v>850</v>
      </c>
      <c r="F39" s="3">
        <f>C39*D39*E39</f>
        <v/>
      </c>
      <c r="G39" s="3">
        <f>C39*344.38</f>
        <v/>
      </c>
      <c r="H39" s="3">
        <f>F39-G39</f>
        <v/>
      </c>
      <c r="I39" s="3" t="n">
        <v>6281.43</v>
      </c>
      <c r="J39" s="3">
        <f>H39-I39</f>
        <v/>
      </c>
      <c r="K39" s="9">
        <f>H39/I39</f>
        <v/>
      </c>
    </row>
    <row r="40">
      <c r="A40" t="n">
        <v>4</v>
      </c>
      <c r="B40" t="n">
        <v>1</v>
      </c>
      <c r="C40" t="n">
        <v>67</v>
      </c>
      <c r="D40" s="8" t="n">
        <v>0.75</v>
      </c>
      <c r="E40" s="3" t="n">
        <v>850</v>
      </c>
      <c r="F40" s="3">
        <f>C40*D40*E40</f>
        <v/>
      </c>
      <c r="G40" s="3">
        <f>C40*344.38</f>
        <v/>
      </c>
      <c r="H40" s="3">
        <f>F40-G40</f>
        <v/>
      </c>
      <c r="I40" s="3" t="n">
        <v>6281.43</v>
      </c>
      <c r="J40" s="3">
        <f>H40-I40</f>
        <v/>
      </c>
      <c r="K40" s="9">
        <f>H40/I40</f>
        <v/>
      </c>
    </row>
    <row r="41">
      <c r="A41" t="n">
        <v>4</v>
      </c>
      <c r="B41" t="n">
        <v>2</v>
      </c>
      <c r="C41" t="n">
        <v>67</v>
      </c>
      <c r="D41" s="8" t="n">
        <v>0.75</v>
      </c>
      <c r="E41" s="3" t="n">
        <v>850</v>
      </c>
      <c r="F41" s="3">
        <f>C41*D41*E41</f>
        <v/>
      </c>
      <c r="G41" s="3">
        <f>C41*344.38</f>
        <v/>
      </c>
      <c r="H41" s="3">
        <f>F41-G41</f>
        <v/>
      </c>
      <c r="I41" s="3" t="n">
        <v>6281.43</v>
      </c>
      <c r="J41" s="3">
        <f>H41-I41</f>
        <v/>
      </c>
      <c r="K41" s="9">
        <f>H41/I41</f>
        <v/>
      </c>
    </row>
    <row r="42">
      <c r="A42" t="n">
        <v>4</v>
      </c>
      <c r="B42" t="n">
        <v>3</v>
      </c>
      <c r="C42" t="n">
        <v>67</v>
      </c>
      <c r="D42" s="8" t="n">
        <v>0.75</v>
      </c>
      <c r="E42" s="3" t="n">
        <v>850</v>
      </c>
      <c r="F42" s="3">
        <f>C42*D42*E42</f>
        <v/>
      </c>
      <c r="G42" s="3">
        <f>C42*344.38</f>
        <v/>
      </c>
      <c r="H42" s="3">
        <f>F42-G42</f>
        <v/>
      </c>
      <c r="I42" s="3" t="n">
        <v>6281.43</v>
      </c>
      <c r="J42" s="3">
        <f>H42-I42</f>
        <v/>
      </c>
      <c r="K42" s="9">
        <f>H42/I42</f>
        <v/>
      </c>
    </row>
    <row r="43">
      <c r="A43" t="n">
        <v>4</v>
      </c>
      <c r="B43" t="n">
        <v>4</v>
      </c>
      <c r="C43" t="n">
        <v>67</v>
      </c>
      <c r="D43" s="8" t="n">
        <v>0.75</v>
      </c>
      <c r="E43" s="3" t="n">
        <v>850</v>
      </c>
      <c r="F43" s="3">
        <f>C43*D43*E43</f>
        <v/>
      </c>
      <c r="G43" s="3">
        <f>C43*344.38</f>
        <v/>
      </c>
      <c r="H43" s="3">
        <f>F43-G43</f>
        <v/>
      </c>
      <c r="I43" s="3" t="n">
        <v>6281.43</v>
      </c>
      <c r="J43" s="3">
        <f>H43-I43</f>
        <v/>
      </c>
      <c r="K43" s="9">
        <f>H43/I43</f>
        <v/>
      </c>
    </row>
    <row r="44">
      <c r="A44" t="n">
        <v>4</v>
      </c>
      <c r="B44" t="n">
        <v>5</v>
      </c>
      <c r="C44" t="n">
        <v>67</v>
      </c>
      <c r="D44" s="8" t="n">
        <v>0.75</v>
      </c>
      <c r="E44" s="3" t="n">
        <v>850</v>
      </c>
      <c r="F44" s="3">
        <f>C44*D44*E44</f>
        <v/>
      </c>
      <c r="G44" s="3">
        <f>C44*344.38</f>
        <v/>
      </c>
      <c r="H44" s="3">
        <f>F44-G44</f>
        <v/>
      </c>
      <c r="I44" s="3" t="n">
        <v>6281.43</v>
      </c>
      <c r="J44" s="3">
        <f>H44-I44</f>
        <v/>
      </c>
      <c r="K44" s="9">
        <f>H44/I44</f>
        <v/>
      </c>
    </row>
    <row r="45">
      <c r="A45" t="n">
        <v>4</v>
      </c>
      <c r="B45" t="n">
        <v>6</v>
      </c>
      <c r="C45" t="n">
        <v>67</v>
      </c>
      <c r="D45" s="8" t="n">
        <v>0.75</v>
      </c>
      <c r="E45" s="3" t="n">
        <v>850</v>
      </c>
      <c r="F45" s="3">
        <f>C45*D45*E45</f>
        <v/>
      </c>
      <c r="G45" s="3">
        <f>C45*344.38</f>
        <v/>
      </c>
      <c r="H45" s="3">
        <f>F45-G45</f>
        <v/>
      </c>
      <c r="I45" s="3" t="n">
        <v>6281.43</v>
      </c>
      <c r="J45" s="3">
        <f>H45-I45</f>
        <v/>
      </c>
      <c r="K45" s="9">
        <f>H45/I45</f>
        <v/>
      </c>
    </row>
    <row r="46">
      <c r="A46" t="n">
        <v>4</v>
      </c>
      <c r="B46" t="n">
        <v>7</v>
      </c>
      <c r="C46" t="n">
        <v>67</v>
      </c>
      <c r="D46" s="8" t="n">
        <v>0.75</v>
      </c>
      <c r="E46" s="3" t="n">
        <v>850</v>
      </c>
      <c r="F46" s="3">
        <f>C46*D46*E46</f>
        <v/>
      </c>
      <c r="G46" s="3">
        <f>C46*344.38</f>
        <v/>
      </c>
      <c r="H46" s="3">
        <f>F46-G46</f>
        <v/>
      </c>
      <c r="I46" s="3" t="n">
        <v>6281.43</v>
      </c>
      <c r="J46" s="3">
        <f>H46-I46</f>
        <v/>
      </c>
      <c r="K46" s="9">
        <f>H46/I46</f>
        <v/>
      </c>
    </row>
    <row r="47">
      <c r="A47" t="n">
        <v>4</v>
      </c>
      <c r="B47" t="n">
        <v>8</v>
      </c>
      <c r="C47" t="n">
        <v>67</v>
      </c>
      <c r="D47" s="8" t="n">
        <v>0.75</v>
      </c>
      <c r="E47" s="3" t="n">
        <v>850</v>
      </c>
      <c r="F47" s="3">
        <f>C47*D47*E47</f>
        <v/>
      </c>
      <c r="G47" s="3">
        <f>C47*344.38</f>
        <v/>
      </c>
      <c r="H47" s="3">
        <f>F47-G47</f>
        <v/>
      </c>
      <c r="I47" s="3" t="n">
        <v>6281.43</v>
      </c>
      <c r="J47" s="3">
        <f>H47-I47</f>
        <v/>
      </c>
      <c r="K47" s="9">
        <f>H47/I47</f>
        <v/>
      </c>
    </row>
    <row r="48">
      <c r="A48" t="n">
        <v>4</v>
      </c>
      <c r="B48" t="n">
        <v>9</v>
      </c>
      <c r="C48" t="n">
        <v>67</v>
      </c>
      <c r="D48" s="8" t="n">
        <v>0.75</v>
      </c>
      <c r="E48" s="3" t="n">
        <v>850</v>
      </c>
      <c r="F48" s="3">
        <f>C48*D48*E48</f>
        <v/>
      </c>
      <c r="G48" s="3">
        <f>C48*344.38</f>
        <v/>
      </c>
      <c r="H48" s="3">
        <f>F48-G48</f>
        <v/>
      </c>
      <c r="I48" s="3" t="n">
        <v>6281.43</v>
      </c>
      <c r="J48" s="3">
        <f>H48-I48</f>
        <v/>
      </c>
      <c r="K48" s="9">
        <f>H48/I48</f>
        <v/>
      </c>
    </row>
    <row r="49">
      <c r="A49" t="n">
        <v>4</v>
      </c>
      <c r="B49" t="n">
        <v>10</v>
      </c>
      <c r="C49" t="n">
        <v>67</v>
      </c>
      <c r="D49" s="8" t="n">
        <v>0.75</v>
      </c>
      <c r="E49" s="3" t="n">
        <v>850</v>
      </c>
      <c r="F49" s="3">
        <f>C49*D49*E49</f>
        <v/>
      </c>
      <c r="G49" s="3">
        <f>C49*344.38</f>
        <v/>
      </c>
      <c r="H49" s="3">
        <f>F49-G49</f>
        <v/>
      </c>
      <c r="I49" s="3" t="n">
        <v>6281.43</v>
      </c>
      <c r="J49" s="3">
        <f>H49-I49</f>
        <v/>
      </c>
      <c r="K49" s="9">
        <f>H49/I49</f>
        <v/>
      </c>
    </row>
    <row r="50">
      <c r="A50" t="n">
        <v>4</v>
      </c>
      <c r="B50" t="n">
        <v>11</v>
      </c>
      <c r="C50" t="n">
        <v>67</v>
      </c>
      <c r="D50" s="8" t="n">
        <v>0.75</v>
      </c>
      <c r="E50" s="3" t="n">
        <v>850</v>
      </c>
      <c r="F50" s="3">
        <f>C50*D50*E50</f>
        <v/>
      </c>
      <c r="G50" s="3">
        <f>C50*344.38</f>
        <v/>
      </c>
      <c r="H50" s="3">
        <f>F50-G50</f>
        <v/>
      </c>
      <c r="I50" s="3" t="n">
        <v>6281.43</v>
      </c>
      <c r="J50" s="3">
        <f>H50-I50</f>
        <v/>
      </c>
      <c r="K50" s="9">
        <f>H50/I50</f>
        <v/>
      </c>
    </row>
    <row r="51">
      <c r="A51" t="n">
        <v>4</v>
      </c>
      <c r="B51" t="n">
        <v>12</v>
      </c>
      <c r="C51" t="n">
        <v>67</v>
      </c>
      <c r="D51" s="8" t="n">
        <v>0.75</v>
      </c>
      <c r="E51" s="3" t="n">
        <v>850</v>
      </c>
      <c r="F51" s="3">
        <f>C51*D51*E51</f>
        <v/>
      </c>
      <c r="G51" s="3">
        <f>C51*344.38</f>
        <v/>
      </c>
      <c r="H51" s="3">
        <f>F51-G51</f>
        <v/>
      </c>
      <c r="I51" s="3" t="n">
        <v>6281.43</v>
      </c>
      <c r="J51" s="3">
        <f>H51-I51</f>
        <v/>
      </c>
      <c r="K51" s="9">
        <f>H51/I51</f>
        <v/>
      </c>
    </row>
    <row r="52">
      <c r="A52" t="n">
        <v>5</v>
      </c>
      <c r="B52" t="n">
        <v>1</v>
      </c>
      <c r="C52" t="n">
        <v>67</v>
      </c>
      <c r="D52" s="8" t="n">
        <v>0.75</v>
      </c>
      <c r="E52" s="3" t="n">
        <v>850</v>
      </c>
      <c r="F52" s="3">
        <f>C52*D52*E52</f>
        <v/>
      </c>
      <c r="G52" s="3">
        <f>C52*344.38</f>
        <v/>
      </c>
      <c r="H52" s="3">
        <f>F52-G52</f>
        <v/>
      </c>
      <c r="I52" s="3" t="n">
        <v>6281.43</v>
      </c>
      <c r="J52" s="3">
        <f>H52-I52</f>
        <v/>
      </c>
      <c r="K52" s="9">
        <f>H52/I52</f>
        <v/>
      </c>
    </row>
    <row r="53">
      <c r="A53" t="n">
        <v>5</v>
      </c>
      <c r="B53" t="n">
        <v>2</v>
      </c>
      <c r="C53" t="n">
        <v>67</v>
      </c>
      <c r="D53" s="8" t="n">
        <v>0.75</v>
      </c>
      <c r="E53" s="3" t="n">
        <v>850</v>
      </c>
      <c r="F53" s="3">
        <f>C53*D53*E53</f>
        <v/>
      </c>
      <c r="G53" s="3">
        <f>C53*344.38</f>
        <v/>
      </c>
      <c r="H53" s="3">
        <f>F53-G53</f>
        <v/>
      </c>
      <c r="I53" s="3" t="n">
        <v>6281.43</v>
      </c>
      <c r="J53" s="3">
        <f>H53-I53</f>
        <v/>
      </c>
      <c r="K53" s="9">
        <f>H53/I53</f>
        <v/>
      </c>
    </row>
    <row r="54">
      <c r="A54" t="n">
        <v>5</v>
      </c>
      <c r="B54" t="n">
        <v>3</v>
      </c>
      <c r="C54" t="n">
        <v>67</v>
      </c>
      <c r="D54" s="8" t="n">
        <v>0.75</v>
      </c>
      <c r="E54" s="3" t="n">
        <v>850</v>
      </c>
      <c r="F54" s="3">
        <f>C54*D54*E54</f>
        <v/>
      </c>
      <c r="G54" s="3">
        <f>C54*344.38</f>
        <v/>
      </c>
      <c r="H54" s="3">
        <f>F54-G54</f>
        <v/>
      </c>
      <c r="I54" s="3" t="n">
        <v>6281.43</v>
      </c>
      <c r="J54" s="3">
        <f>H54-I54</f>
        <v/>
      </c>
      <c r="K54" s="9">
        <f>H54/I54</f>
        <v/>
      </c>
    </row>
    <row r="55">
      <c r="A55" t="n">
        <v>5</v>
      </c>
      <c r="B55" t="n">
        <v>4</v>
      </c>
      <c r="C55" t="n">
        <v>67</v>
      </c>
      <c r="D55" s="8" t="n">
        <v>0.75</v>
      </c>
      <c r="E55" s="3" t="n">
        <v>850</v>
      </c>
      <c r="F55" s="3">
        <f>C55*D55*E55</f>
        <v/>
      </c>
      <c r="G55" s="3">
        <f>C55*344.38</f>
        <v/>
      </c>
      <c r="H55" s="3">
        <f>F55-G55</f>
        <v/>
      </c>
      <c r="I55" s="3" t="n">
        <v>6281.43</v>
      </c>
      <c r="J55" s="3">
        <f>H55-I55</f>
        <v/>
      </c>
      <c r="K55" s="9">
        <f>H55/I55</f>
        <v/>
      </c>
    </row>
    <row r="56">
      <c r="A56" t="n">
        <v>5</v>
      </c>
      <c r="B56" t="n">
        <v>5</v>
      </c>
      <c r="C56" t="n">
        <v>67</v>
      </c>
      <c r="D56" s="8" t="n">
        <v>0.75</v>
      </c>
      <c r="E56" s="3" t="n">
        <v>850</v>
      </c>
      <c r="F56" s="3">
        <f>C56*D56*E56</f>
        <v/>
      </c>
      <c r="G56" s="3">
        <f>C56*344.38</f>
        <v/>
      </c>
      <c r="H56" s="3">
        <f>F56-G56</f>
        <v/>
      </c>
      <c r="I56" s="3" t="n">
        <v>6281.43</v>
      </c>
      <c r="J56" s="3">
        <f>H56-I56</f>
        <v/>
      </c>
      <c r="K56" s="9">
        <f>H56/I56</f>
        <v/>
      </c>
    </row>
    <row r="57">
      <c r="A57" t="n">
        <v>5</v>
      </c>
      <c r="B57" t="n">
        <v>6</v>
      </c>
      <c r="C57" t="n">
        <v>67</v>
      </c>
      <c r="D57" s="8" t="n">
        <v>0.75</v>
      </c>
      <c r="E57" s="3" t="n">
        <v>850</v>
      </c>
      <c r="F57" s="3">
        <f>C57*D57*E57</f>
        <v/>
      </c>
      <c r="G57" s="3">
        <f>C57*344.38</f>
        <v/>
      </c>
      <c r="H57" s="3">
        <f>F57-G57</f>
        <v/>
      </c>
      <c r="I57" s="3" t="n">
        <v>6281.43</v>
      </c>
      <c r="J57" s="3">
        <f>H57-I57</f>
        <v/>
      </c>
      <c r="K57" s="9">
        <f>H57/I57</f>
        <v/>
      </c>
    </row>
    <row r="58">
      <c r="A58" t="n">
        <v>5</v>
      </c>
      <c r="B58" t="n">
        <v>7</v>
      </c>
      <c r="C58" t="n">
        <v>67</v>
      </c>
      <c r="D58" s="8" t="n">
        <v>0.75</v>
      </c>
      <c r="E58" s="3" t="n">
        <v>850</v>
      </c>
      <c r="F58" s="3">
        <f>C58*D58*E58</f>
        <v/>
      </c>
      <c r="G58" s="3">
        <f>C58*344.38</f>
        <v/>
      </c>
      <c r="H58" s="3">
        <f>F58-G58</f>
        <v/>
      </c>
      <c r="I58" s="3" t="n">
        <v>6281.43</v>
      </c>
      <c r="J58" s="3">
        <f>H58-I58</f>
        <v/>
      </c>
      <c r="K58" s="9">
        <f>H58/I58</f>
        <v/>
      </c>
    </row>
    <row r="59">
      <c r="A59" t="n">
        <v>5</v>
      </c>
      <c r="B59" t="n">
        <v>8</v>
      </c>
      <c r="C59" t="n">
        <v>67</v>
      </c>
      <c r="D59" s="8" t="n">
        <v>0.75</v>
      </c>
      <c r="E59" s="3" t="n">
        <v>850</v>
      </c>
      <c r="F59" s="3">
        <f>C59*D59*E59</f>
        <v/>
      </c>
      <c r="G59" s="3">
        <f>C59*344.38</f>
        <v/>
      </c>
      <c r="H59" s="3">
        <f>F59-G59</f>
        <v/>
      </c>
      <c r="I59" s="3" t="n">
        <v>6281.43</v>
      </c>
      <c r="J59" s="3">
        <f>H59-I59</f>
        <v/>
      </c>
      <c r="K59" s="9">
        <f>H59/I59</f>
        <v/>
      </c>
    </row>
    <row r="60">
      <c r="A60" t="n">
        <v>5</v>
      </c>
      <c r="B60" t="n">
        <v>9</v>
      </c>
      <c r="C60" t="n">
        <v>67</v>
      </c>
      <c r="D60" s="8" t="n">
        <v>0.75</v>
      </c>
      <c r="E60" s="3" t="n">
        <v>850</v>
      </c>
      <c r="F60" s="3">
        <f>C60*D60*E60</f>
        <v/>
      </c>
      <c r="G60" s="3">
        <f>C60*344.38</f>
        <v/>
      </c>
      <c r="H60" s="3">
        <f>F60-G60</f>
        <v/>
      </c>
      <c r="I60" s="3" t="n">
        <v>6281.43</v>
      </c>
      <c r="J60" s="3">
        <f>H60-I60</f>
        <v/>
      </c>
      <c r="K60" s="9">
        <f>H60/I60</f>
        <v/>
      </c>
    </row>
    <row r="61">
      <c r="A61" t="n">
        <v>5</v>
      </c>
      <c r="B61" t="n">
        <v>10</v>
      </c>
      <c r="C61" t="n">
        <v>67</v>
      </c>
      <c r="D61" s="8" t="n">
        <v>0.75</v>
      </c>
      <c r="E61" s="3" t="n">
        <v>850</v>
      </c>
      <c r="F61" s="3">
        <f>C61*D61*E61</f>
        <v/>
      </c>
      <c r="G61" s="3">
        <f>C61*344.38</f>
        <v/>
      </c>
      <c r="H61" s="3">
        <f>F61-G61</f>
        <v/>
      </c>
      <c r="I61" s="3" t="n">
        <v>6281.43</v>
      </c>
      <c r="J61" s="3">
        <f>H61-I61</f>
        <v/>
      </c>
      <c r="K61" s="9">
        <f>H61/I61</f>
        <v/>
      </c>
    </row>
    <row r="62">
      <c r="A62" t="n">
        <v>5</v>
      </c>
      <c r="B62" t="n">
        <v>11</v>
      </c>
      <c r="C62" t="n">
        <v>67</v>
      </c>
      <c r="D62" s="8" t="n">
        <v>0.75</v>
      </c>
      <c r="E62" s="3" t="n">
        <v>850</v>
      </c>
      <c r="F62" s="3">
        <f>C62*D62*E62</f>
        <v/>
      </c>
      <c r="G62" s="3">
        <f>C62*344.38</f>
        <v/>
      </c>
      <c r="H62" s="3">
        <f>F62-G62</f>
        <v/>
      </c>
      <c r="I62" s="3" t="n">
        <v>6281.43</v>
      </c>
      <c r="J62" s="3">
        <f>H62-I62</f>
        <v/>
      </c>
      <c r="K62" s="9">
        <f>H62/I62</f>
        <v/>
      </c>
    </row>
    <row r="63">
      <c r="A63" t="n">
        <v>5</v>
      </c>
      <c r="B63" t="n">
        <v>12</v>
      </c>
      <c r="C63" t="n">
        <v>67</v>
      </c>
      <c r="D63" s="8" t="n">
        <v>0.75</v>
      </c>
      <c r="E63" s="3" t="n">
        <v>850</v>
      </c>
      <c r="F63" s="3">
        <f>C63*D63*E63</f>
        <v/>
      </c>
      <c r="G63" s="3">
        <f>C63*344.38</f>
        <v/>
      </c>
      <c r="H63" s="3">
        <f>F63-G63</f>
        <v/>
      </c>
      <c r="I63" s="3" t="n">
        <v>6281.43</v>
      </c>
      <c r="J63" s="3">
        <f>H63-I63</f>
        <v/>
      </c>
      <c r="K63" s="9">
        <f>H63/I63</f>
        <v/>
      </c>
    </row>
    <row r="64">
      <c r="A64" t="n">
        <v>6</v>
      </c>
      <c r="B64" t="n">
        <v>1</v>
      </c>
      <c r="C64" t="n">
        <v>67</v>
      </c>
      <c r="D64" s="8" t="n">
        <v>0.75</v>
      </c>
      <c r="E64" s="3" t="n">
        <v>850</v>
      </c>
      <c r="F64" s="3">
        <f>C64*D64*E64</f>
        <v/>
      </c>
      <c r="G64" s="3">
        <f>C64*344.38</f>
        <v/>
      </c>
      <c r="H64" s="3">
        <f>F64-G64</f>
        <v/>
      </c>
      <c r="I64" s="3" t="n">
        <v>6281.43</v>
      </c>
      <c r="J64" s="3">
        <f>H64-I64</f>
        <v/>
      </c>
      <c r="K64" s="9">
        <f>H64/I64</f>
        <v/>
      </c>
    </row>
    <row r="65">
      <c r="A65" t="n">
        <v>6</v>
      </c>
      <c r="B65" t="n">
        <v>2</v>
      </c>
      <c r="C65" t="n">
        <v>67</v>
      </c>
      <c r="D65" s="8" t="n">
        <v>0.75</v>
      </c>
      <c r="E65" s="3" t="n">
        <v>850</v>
      </c>
      <c r="F65" s="3">
        <f>C65*D65*E65</f>
        <v/>
      </c>
      <c r="G65" s="3">
        <f>C65*344.38</f>
        <v/>
      </c>
      <c r="H65" s="3">
        <f>F65-G65</f>
        <v/>
      </c>
      <c r="I65" s="3" t="n">
        <v>6281.43</v>
      </c>
      <c r="J65" s="3">
        <f>H65-I65</f>
        <v/>
      </c>
      <c r="K65" s="9">
        <f>H65/I65</f>
        <v/>
      </c>
    </row>
    <row r="66">
      <c r="A66" t="n">
        <v>6</v>
      </c>
      <c r="B66" t="n">
        <v>3</v>
      </c>
      <c r="C66" t="n">
        <v>67</v>
      </c>
      <c r="D66" s="8" t="n">
        <v>0.75</v>
      </c>
      <c r="E66" s="3" t="n">
        <v>850</v>
      </c>
      <c r="F66" s="3">
        <f>C66*D66*E66</f>
        <v/>
      </c>
      <c r="G66" s="3">
        <f>C66*344.38</f>
        <v/>
      </c>
      <c r="H66" s="3">
        <f>F66-G66</f>
        <v/>
      </c>
      <c r="I66" s="3" t="n">
        <v>6281.43</v>
      </c>
      <c r="J66" s="3">
        <f>H66-I66</f>
        <v/>
      </c>
      <c r="K66" s="9">
        <f>H66/I66</f>
        <v/>
      </c>
    </row>
    <row r="67">
      <c r="A67" t="n">
        <v>6</v>
      </c>
      <c r="B67" t="n">
        <v>4</v>
      </c>
      <c r="C67" t="n">
        <v>67</v>
      </c>
      <c r="D67" s="8" t="n">
        <v>0.75</v>
      </c>
      <c r="E67" s="3" t="n">
        <v>850</v>
      </c>
      <c r="F67" s="3">
        <f>C67*D67*E67</f>
        <v/>
      </c>
      <c r="G67" s="3">
        <f>C67*344.38</f>
        <v/>
      </c>
      <c r="H67" s="3">
        <f>F67-G67</f>
        <v/>
      </c>
      <c r="I67" s="3" t="n">
        <v>6281.43</v>
      </c>
      <c r="J67" s="3">
        <f>H67-I67</f>
        <v/>
      </c>
      <c r="K67" s="9">
        <f>H67/I67</f>
        <v/>
      </c>
    </row>
    <row r="68">
      <c r="A68" t="n">
        <v>6</v>
      </c>
      <c r="B68" t="n">
        <v>5</v>
      </c>
      <c r="C68" t="n">
        <v>67</v>
      </c>
      <c r="D68" s="8" t="n">
        <v>0.75</v>
      </c>
      <c r="E68" s="3" t="n">
        <v>850</v>
      </c>
      <c r="F68" s="3">
        <f>C68*D68*E68</f>
        <v/>
      </c>
      <c r="G68" s="3">
        <f>C68*344.38</f>
        <v/>
      </c>
      <c r="H68" s="3">
        <f>F68-G68</f>
        <v/>
      </c>
      <c r="I68" s="3" t="n">
        <v>6281.43</v>
      </c>
      <c r="J68" s="3">
        <f>H68-I68</f>
        <v/>
      </c>
      <c r="K68" s="9">
        <f>H68/I68</f>
        <v/>
      </c>
    </row>
    <row r="69">
      <c r="A69" t="n">
        <v>6</v>
      </c>
      <c r="B69" t="n">
        <v>6</v>
      </c>
      <c r="C69" t="n">
        <v>67</v>
      </c>
      <c r="D69" s="8" t="n">
        <v>0.75</v>
      </c>
      <c r="E69" s="3" t="n">
        <v>850</v>
      </c>
      <c r="F69" s="3">
        <f>C69*D69*E69</f>
        <v/>
      </c>
      <c r="G69" s="3">
        <f>C69*344.38</f>
        <v/>
      </c>
      <c r="H69" s="3">
        <f>F69-G69</f>
        <v/>
      </c>
      <c r="I69" s="3" t="n">
        <v>6281.43</v>
      </c>
      <c r="J69" s="3">
        <f>H69-I69</f>
        <v/>
      </c>
      <c r="K69" s="9">
        <f>H69/I69</f>
        <v/>
      </c>
    </row>
    <row r="70">
      <c r="A70" t="n">
        <v>6</v>
      </c>
      <c r="B70" t="n">
        <v>7</v>
      </c>
      <c r="C70" t="n">
        <v>67</v>
      </c>
      <c r="D70" s="8" t="n">
        <v>0.75</v>
      </c>
      <c r="E70" s="3" t="n">
        <v>850</v>
      </c>
      <c r="F70" s="3">
        <f>C70*D70*E70</f>
        <v/>
      </c>
      <c r="G70" s="3">
        <f>C70*344.38</f>
        <v/>
      </c>
      <c r="H70" s="3">
        <f>F70-G70</f>
        <v/>
      </c>
      <c r="I70" s="3" t="n">
        <v>6281.43</v>
      </c>
      <c r="J70" s="3">
        <f>H70-I70</f>
        <v/>
      </c>
      <c r="K70" s="9">
        <f>H70/I70</f>
        <v/>
      </c>
    </row>
    <row r="71">
      <c r="A71" t="n">
        <v>6</v>
      </c>
      <c r="B71" t="n">
        <v>8</v>
      </c>
      <c r="C71" t="n">
        <v>67</v>
      </c>
      <c r="D71" s="8" t="n">
        <v>0.75</v>
      </c>
      <c r="E71" s="3" t="n">
        <v>850</v>
      </c>
      <c r="F71" s="3">
        <f>C71*D71*E71</f>
        <v/>
      </c>
      <c r="G71" s="3">
        <f>C71*344.38</f>
        <v/>
      </c>
      <c r="H71" s="3">
        <f>F71-G71</f>
        <v/>
      </c>
      <c r="I71" s="3" t="n">
        <v>6281.43</v>
      </c>
      <c r="J71" s="3">
        <f>H71-I71</f>
        <v/>
      </c>
      <c r="K71" s="9">
        <f>H71/I71</f>
        <v/>
      </c>
    </row>
    <row r="72">
      <c r="A72" t="n">
        <v>6</v>
      </c>
      <c r="B72" t="n">
        <v>9</v>
      </c>
      <c r="C72" t="n">
        <v>67</v>
      </c>
      <c r="D72" s="8" t="n">
        <v>0.75</v>
      </c>
      <c r="E72" s="3" t="n">
        <v>850</v>
      </c>
      <c r="F72" s="3">
        <f>C72*D72*E72</f>
        <v/>
      </c>
      <c r="G72" s="3">
        <f>C72*344.38</f>
        <v/>
      </c>
      <c r="H72" s="3">
        <f>F72-G72</f>
        <v/>
      </c>
      <c r="I72" s="3" t="n">
        <v>6281.43</v>
      </c>
      <c r="J72" s="3">
        <f>H72-I72</f>
        <v/>
      </c>
      <c r="K72" s="9">
        <f>H72/I72</f>
        <v/>
      </c>
    </row>
    <row r="73">
      <c r="A73" t="n">
        <v>6</v>
      </c>
      <c r="B73" t="n">
        <v>10</v>
      </c>
      <c r="C73" t="n">
        <v>67</v>
      </c>
      <c r="D73" s="8" t="n">
        <v>0.75</v>
      </c>
      <c r="E73" s="3" t="n">
        <v>850</v>
      </c>
      <c r="F73" s="3">
        <f>C73*D73*E73</f>
        <v/>
      </c>
      <c r="G73" s="3">
        <f>C73*344.38</f>
        <v/>
      </c>
      <c r="H73" s="3">
        <f>F73-G73</f>
        <v/>
      </c>
      <c r="I73" s="3" t="n">
        <v>6281.43</v>
      </c>
      <c r="J73" s="3">
        <f>H73-I73</f>
        <v/>
      </c>
      <c r="K73" s="9">
        <f>H73/I73</f>
        <v/>
      </c>
    </row>
    <row r="74">
      <c r="A74" t="n">
        <v>6</v>
      </c>
      <c r="B74" t="n">
        <v>11</v>
      </c>
      <c r="C74" t="n">
        <v>67</v>
      </c>
      <c r="D74" s="8" t="n">
        <v>0.75</v>
      </c>
      <c r="E74" s="3" t="n">
        <v>850</v>
      </c>
      <c r="F74" s="3">
        <f>C74*D74*E74</f>
        <v/>
      </c>
      <c r="G74" s="3">
        <f>C74*344.38</f>
        <v/>
      </c>
      <c r="H74" s="3">
        <f>F74-G74</f>
        <v/>
      </c>
      <c r="I74" s="3" t="n">
        <v>6281.43</v>
      </c>
      <c r="J74" s="3">
        <f>H74-I74</f>
        <v/>
      </c>
      <c r="K74" s="9">
        <f>H74/I74</f>
        <v/>
      </c>
    </row>
    <row r="75">
      <c r="A75" t="n">
        <v>6</v>
      </c>
      <c r="B75" t="n">
        <v>12</v>
      </c>
      <c r="C75" t="n">
        <v>67</v>
      </c>
      <c r="D75" s="8" t="n">
        <v>0.75</v>
      </c>
      <c r="E75" s="3" t="n">
        <v>850</v>
      </c>
      <c r="F75" s="3">
        <f>C75*D75*E75</f>
        <v/>
      </c>
      <c r="G75" s="3">
        <f>C75*344.38</f>
        <v/>
      </c>
      <c r="H75" s="3">
        <f>F75-G75</f>
        <v/>
      </c>
      <c r="I75" s="3" t="n">
        <v>6281.43</v>
      </c>
      <c r="J75" s="3">
        <f>H75-I75</f>
        <v/>
      </c>
      <c r="K75" s="9">
        <f>H75/I75</f>
        <v/>
      </c>
    </row>
    <row r="76">
      <c r="A76" t="n">
        <v>7</v>
      </c>
      <c r="B76" t="n">
        <v>1</v>
      </c>
      <c r="C76" t="n">
        <v>67</v>
      </c>
      <c r="D76" s="8" t="n">
        <v>0.75</v>
      </c>
      <c r="E76" s="3" t="n">
        <v>850</v>
      </c>
      <c r="F76" s="3">
        <f>C76*D76*E76</f>
        <v/>
      </c>
      <c r="G76" s="3">
        <f>C76*344.38</f>
        <v/>
      </c>
      <c r="H76" s="3">
        <f>F76-G76</f>
        <v/>
      </c>
      <c r="I76" s="3" t="n">
        <v>6281.43</v>
      </c>
      <c r="J76" s="3">
        <f>H76-I76</f>
        <v/>
      </c>
      <c r="K76" s="9">
        <f>H76/I76</f>
        <v/>
      </c>
    </row>
    <row r="77">
      <c r="A77" t="n">
        <v>7</v>
      </c>
      <c r="B77" t="n">
        <v>2</v>
      </c>
      <c r="C77" t="n">
        <v>67</v>
      </c>
      <c r="D77" s="8" t="n">
        <v>0.75</v>
      </c>
      <c r="E77" s="3" t="n">
        <v>850</v>
      </c>
      <c r="F77" s="3">
        <f>C77*D77*E77</f>
        <v/>
      </c>
      <c r="G77" s="3">
        <f>C77*344.38</f>
        <v/>
      </c>
      <c r="H77" s="3">
        <f>F77-G77</f>
        <v/>
      </c>
      <c r="I77" s="3" t="n">
        <v>6281.43</v>
      </c>
      <c r="J77" s="3">
        <f>H77-I77</f>
        <v/>
      </c>
      <c r="K77" s="9">
        <f>H77/I77</f>
        <v/>
      </c>
    </row>
    <row r="78">
      <c r="A78" t="n">
        <v>7</v>
      </c>
      <c r="B78" t="n">
        <v>3</v>
      </c>
      <c r="C78" t="n">
        <v>67</v>
      </c>
      <c r="D78" s="8" t="n">
        <v>0.75</v>
      </c>
      <c r="E78" s="3" t="n">
        <v>850</v>
      </c>
      <c r="F78" s="3">
        <f>C78*D78*E78</f>
        <v/>
      </c>
      <c r="G78" s="3">
        <f>C78*344.38</f>
        <v/>
      </c>
      <c r="H78" s="3">
        <f>F78-G78</f>
        <v/>
      </c>
      <c r="I78" s="3" t="n">
        <v>6281.43</v>
      </c>
      <c r="J78" s="3">
        <f>H78-I78</f>
        <v/>
      </c>
      <c r="K78" s="9">
        <f>H78/I78</f>
        <v/>
      </c>
    </row>
    <row r="79">
      <c r="A79" t="n">
        <v>7</v>
      </c>
      <c r="B79" t="n">
        <v>4</v>
      </c>
      <c r="C79" t="n">
        <v>67</v>
      </c>
      <c r="D79" s="8" t="n">
        <v>0.75</v>
      </c>
      <c r="E79" s="3" t="n">
        <v>850</v>
      </c>
      <c r="F79" s="3">
        <f>C79*D79*E79</f>
        <v/>
      </c>
      <c r="G79" s="3">
        <f>C79*344.38</f>
        <v/>
      </c>
      <c r="H79" s="3">
        <f>F79-G79</f>
        <v/>
      </c>
      <c r="I79" s="3" t="n">
        <v>6281.43</v>
      </c>
      <c r="J79" s="3">
        <f>H79-I79</f>
        <v/>
      </c>
      <c r="K79" s="9">
        <f>H79/I79</f>
        <v/>
      </c>
    </row>
    <row r="80">
      <c r="A80" t="n">
        <v>7</v>
      </c>
      <c r="B80" t="n">
        <v>5</v>
      </c>
      <c r="C80" t="n">
        <v>67</v>
      </c>
      <c r="D80" s="8" t="n">
        <v>0.75</v>
      </c>
      <c r="E80" s="3" t="n">
        <v>850</v>
      </c>
      <c r="F80" s="3">
        <f>C80*D80*E80</f>
        <v/>
      </c>
      <c r="G80" s="3">
        <f>C80*344.38</f>
        <v/>
      </c>
      <c r="H80" s="3">
        <f>F80-G80</f>
        <v/>
      </c>
      <c r="I80" s="3" t="n">
        <v>6281.43</v>
      </c>
      <c r="J80" s="3">
        <f>H80-I80</f>
        <v/>
      </c>
      <c r="K80" s="9">
        <f>H80/I80</f>
        <v/>
      </c>
    </row>
    <row r="81">
      <c r="A81" t="n">
        <v>7</v>
      </c>
      <c r="B81" t="n">
        <v>6</v>
      </c>
      <c r="C81" t="n">
        <v>67</v>
      </c>
      <c r="D81" s="8" t="n">
        <v>0.75</v>
      </c>
      <c r="E81" s="3" t="n">
        <v>850</v>
      </c>
      <c r="F81" s="3">
        <f>C81*D81*E81</f>
        <v/>
      </c>
      <c r="G81" s="3">
        <f>C81*344.38</f>
        <v/>
      </c>
      <c r="H81" s="3">
        <f>F81-G81</f>
        <v/>
      </c>
      <c r="I81" s="3" t="n">
        <v>6281.43</v>
      </c>
      <c r="J81" s="3">
        <f>H81-I81</f>
        <v/>
      </c>
      <c r="K81" s="9">
        <f>H81/I81</f>
        <v/>
      </c>
    </row>
    <row r="82">
      <c r="A82" t="n">
        <v>7</v>
      </c>
      <c r="B82" t="n">
        <v>7</v>
      </c>
      <c r="C82" t="n">
        <v>67</v>
      </c>
      <c r="D82" s="8" t="n">
        <v>0.75</v>
      </c>
      <c r="E82" s="3" t="n">
        <v>850</v>
      </c>
      <c r="F82" s="3">
        <f>C82*D82*E82</f>
        <v/>
      </c>
      <c r="G82" s="3">
        <f>C82*344.38</f>
        <v/>
      </c>
      <c r="H82" s="3">
        <f>F82-G82</f>
        <v/>
      </c>
      <c r="I82" s="3" t="n">
        <v>6281.43</v>
      </c>
      <c r="J82" s="3">
        <f>H82-I82</f>
        <v/>
      </c>
      <c r="K82" s="9">
        <f>H82/I82</f>
        <v/>
      </c>
    </row>
    <row r="83">
      <c r="A83" t="n">
        <v>7</v>
      </c>
      <c r="B83" t="n">
        <v>8</v>
      </c>
      <c r="C83" t="n">
        <v>67</v>
      </c>
      <c r="D83" s="8" t="n">
        <v>0.75</v>
      </c>
      <c r="E83" s="3" t="n">
        <v>850</v>
      </c>
      <c r="F83" s="3">
        <f>C83*D83*E83</f>
        <v/>
      </c>
      <c r="G83" s="3">
        <f>C83*344.38</f>
        <v/>
      </c>
      <c r="H83" s="3">
        <f>F83-G83</f>
        <v/>
      </c>
      <c r="I83" s="3" t="n">
        <v>6281.43</v>
      </c>
      <c r="J83" s="3">
        <f>H83-I83</f>
        <v/>
      </c>
      <c r="K83" s="9">
        <f>H83/I83</f>
        <v/>
      </c>
    </row>
    <row r="84">
      <c r="A84" t="n">
        <v>7</v>
      </c>
      <c r="B84" t="n">
        <v>9</v>
      </c>
      <c r="C84" t="n">
        <v>67</v>
      </c>
      <c r="D84" s="8" t="n">
        <v>0.75</v>
      </c>
      <c r="E84" s="3" t="n">
        <v>850</v>
      </c>
      <c r="F84" s="3">
        <f>C84*D84*E84</f>
        <v/>
      </c>
      <c r="G84" s="3">
        <f>C84*344.38</f>
        <v/>
      </c>
      <c r="H84" s="3">
        <f>F84-G84</f>
        <v/>
      </c>
      <c r="I84" s="3" t="n">
        <v>6281.43</v>
      </c>
      <c r="J84" s="3">
        <f>H84-I84</f>
        <v/>
      </c>
      <c r="K84" s="9">
        <f>H84/I84</f>
        <v/>
      </c>
    </row>
    <row r="85">
      <c r="A85" t="n">
        <v>7</v>
      </c>
      <c r="B85" t="n">
        <v>10</v>
      </c>
      <c r="C85" t="n">
        <v>67</v>
      </c>
      <c r="D85" s="8" t="n">
        <v>0.75</v>
      </c>
      <c r="E85" s="3" t="n">
        <v>850</v>
      </c>
      <c r="F85" s="3">
        <f>C85*D85*E85</f>
        <v/>
      </c>
      <c r="G85" s="3">
        <f>C85*344.38</f>
        <v/>
      </c>
      <c r="H85" s="3">
        <f>F85-G85</f>
        <v/>
      </c>
      <c r="I85" s="3" t="n">
        <v>6281.43</v>
      </c>
      <c r="J85" s="3">
        <f>H85-I85</f>
        <v/>
      </c>
      <c r="K85" s="9">
        <f>H85/I85</f>
        <v/>
      </c>
    </row>
    <row r="86">
      <c r="A86" t="n">
        <v>7</v>
      </c>
      <c r="B86" t="n">
        <v>11</v>
      </c>
      <c r="C86" t="n">
        <v>67</v>
      </c>
      <c r="D86" s="8" t="n">
        <v>0.75</v>
      </c>
      <c r="E86" s="3" t="n">
        <v>850</v>
      </c>
      <c r="F86" s="3">
        <f>C86*D86*E86</f>
        <v/>
      </c>
      <c r="G86" s="3">
        <f>C86*344.38</f>
        <v/>
      </c>
      <c r="H86" s="3">
        <f>F86-G86</f>
        <v/>
      </c>
      <c r="I86" s="3" t="n">
        <v>6281.43</v>
      </c>
      <c r="J86" s="3">
        <f>H86-I86</f>
        <v/>
      </c>
      <c r="K86" s="9">
        <f>H86/I86</f>
        <v/>
      </c>
    </row>
    <row r="87">
      <c r="A87" t="n">
        <v>7</v>
      </c>
      <c r="B87" t="n">
        <v>12</v>
      </c>
      <c r="C87" t="n">
        <v>67</v>
      </c>
      <c r="D87" s="8" t="n">
        <v>0.75</v>
      </c>
      <c r="E87" s="3" t="n">
        <v>850</v>
      </c>
      <c r="F87" s="3">
        <f>C87*D87*E87</f>
        <v/>
      </c>
      <c r="G87" s="3">
        <f>C87*344.38</f>
        <v/>
      </c>
      <c r="H87" s="3">
        <f>F87-G87</f>
        <v/>
      </c>
      <c r="I87" s="3" t="n">
        <v>6281.43</v>
      </c>
      <c r="J87" s="3">
        <f>H87-I87</f>
        <v/>
      </c>
      <c r="K87" s="9">
        <f>H87/I87</f>
        <v/>
      </c>
    </row>
    <row r="88">
      <c r="A88" t="n">
        <v>8</v>
      </c>
      <c r="B88" t="n">
        <v>1</v>
      </c>
      <c r="C88" t="n">
        <v>67</v>
      </c>
      <c r="D88" s="8" t="n">
        <v>0.75</v>
      </c>
      <c r="E88" s="3" t="n">
        <v>850</v>
      </c>
      <c r="F88" s="3">
        <f>C88*D88*E88</f>
        <v/>
      </c>
      <c r="G88" s="3">
        <f>C88*344.38</f>
        <v/>
      </c>
      <c r="H88" s="3">
        <f>F88-G88</f>
        <v/>
      </c>
      <c r="I88" s="3" t="n">
        <v>6281.43</v>
      </c>
      <c r="J88" s="3">
        <f>H88-I88</f>
        <v/>
      </c>
      <c r="K88" s="9">
        <f>H88/I88</f>
        <v/>
      </c>
    </row>
    <row r="89">
      <c r="A89" t="n">
        <v>8</v>
      </c>
      <c r="B89" t="n">
        <v>2</v>
      </c>
      <c r="C89" t="n">
        <v>67</v>
      </c>
      <c r="D89" s="8" t="n">
        <v>0.75</v>
      </c>
      <c r="E89" s="3" t="n">
        <v>850</v>
      </c>
      <c r="F89" s="3">
        <f>C89*D89*E89</f>
        <v/>
      </c>
      <c r="G89" s="3">
        <f>C89*344.38</f>
        <v/>
      </c>
      <c r="H89" s="3">
        <f>F89-G89</f>
        <v/>
      </c>
      <c r="I89" s="3" t="n">
        <v>6281.43</v>
      </c>
      <c r="J89" s="3">
        <f>H89-I89</f>
        <v/>
      </c>
      <c r="K89" s="9">
        <f>H89/I89</f>
        <v/>
      </c>
    </row>
    <row r="90">
      <c r="A90" t="n">
        <v>8</v>
      </c>
      <c r="B90" t="n">
        <v>3</v>
      </c>
      <c r="C90" t="n">
        <v>67</v>
      </c>
      <c r="D90" s="8" t="n">
        <v>0.75</v>
      </c>
      <c r="E90" s="3" t="n">
        <v>850</v>
      </c>
      <c r="F90" s="3">
        <f>C90*D90*E90</f>
        <v/>
      </c>
      <c r="G90" s="3">
        <f>C90*344.38</f>
        <v/>
      </c>
      <c r="H90" s="3">
        <f>F90-G90</f>
        <v/>
      </c>
      <c r="I90" s="3" t="n">
        <v>6281.43</v>
      </c>
      <c r="J90" s="3">
        <f>H90-I90</f>
        <v/>
      </c>
      <c r="K90" s="9">
        <f>H90/I90</f>
        <v/>
      </c>
    </row>
    <row r="91">
      <c r="A91" t="n">
        <v>8</v>
      </c>
      <c r="B91" t="n">
        <v>4</v>
      </c>
      <c r="C91" t="n">
        <v>67</v>
      </c>
      <c r="D91" s="8" t="n">
        <v>0.75</v>
      </c>
      <c r="E91" s="3" t="n">
        <v>850</v>
      </c>
      <c r="F91" s="3">
        <f>C91*D91*E91</f>
        <v/>
      </c>
      <c r="G91" s="3">
        <f>C91*344.38</f>
        <v/>
      </c>
      <c r="H91" s="3">
        <f>F91-G91</f>
        <v/>
      </c>
      <c r="I91" s="3" t="n">
        <v>6281.43</v>
      </c>
      <c r="J91" s="3">
        <f>H91-I91</f>
        <v/>
      </c>
      <c r="K91" s="9">
        <f>H91/I91</f>
        <v/>
      </c>
    </row>
    <row r="92">
      <c r="A92" t="n">
        <v>8</v>
      </c>
      <c r="B92" t="n">
        <v>5</v>
      </c>
      <c r="C92" t="n">
        <v>67</v>
      </c>
      <c r="D92" s="8" t="n">
        <v>0.75</v>
      </c>
      <c r="E92" s="3" t="n">
        <v>850</v>
      </c>
      <c r="F92" s="3">
        <f>C92*D92*E92</f>
        <v/>
      </c>
      <c r="G92" s="3">
        <f>C92*344.38</f>
        <v/>
      </c>
      <c r="H92" s="3">
        <f>F92-G92</f>
        <v/>
      </c>
      <c r="I92" s="3" t="n">
        <v>6281.43</v>
      </c>
      <c r="J92" s="3">
        <f>H92-I92</f>
        <v/>
      </c>
      <c r="K92" s="9">
        <f>H92/I92</f>
        <v/>
      </c>
    </row>
    <row r="93">
      <c r="A93" t="n">
        <v>8</v>
      </c>
      <c r="B93" t="n">
        <v>6</v>
      </c>
      <c r="C93" t="n">
        <v>67</v>
      </c>
      <c r="D93" s="8" t="n">
        <v>0.75</v>
      </c>
      <c r="E93" s="3" t="n">
        <v>850</v>
      </c>
      <c r="F93" s="3">
        <f>C93*D93*E93</f>
        <v/>
      </c>
      <c r="G93" s="3">
        <f>C93*344.38</f>
        <v/>
      </c>
      <c r="H93" s="3">
        <f>F93-G93</f>
        <v/>
      </c>
      <c r="I93" s="3" t="n">
        <v>6281.43</v>
      </c>
      <c r="J93" s="3">
        <f>H93-I93</f>
        <v/>
      </c>
      <c r="K93" s="9">
        <f>H93/I93</f>
        <v/>
      </c>
    </row>
    <row r="94">
      <c r="A94" t="n">
        <v>8</v>
      </c>
      <c r="B94" t="n">
        <v>7</v>
      </c>
      <c r="C94" t="n">
        <v>67</v>
      </c>
      <c r="D94" s="8" t="n">
        <v>0.75</v>
      </c>
      <c r="E94" s="3" t="n">
        <v>850</v>
      </c>
      <c r="F94" s="3">
        <f>C94*D94*E94</f>
        <v/>
      </c>
      <c r="G94" s="3">
        <f>C94*344.38</f>
        <v/>
      </c>
      <c r="H94" s="3">
        <f>F94-G94</f>
        <v/>
      </c>
      <c r="I94" s="3" t="n">
        <v>6281.43</v>
      </c>
      <c r="J94" s="3">
        <f>H94-I94</f>
        <v/>
      </c>
      <c r="K94" s="9">
        <f>H94/I94</f>
        <v/>
      </c>
    </row>
    <row r="95">
      <c r="A95" t="n">
        <v>8</v>
      </c>
      <c r="B95" t="n">
        <v>8</v>
      </c>
      <c r="C95" t="n">
        <v>67</v>
      </c>
      <c r="D95" s="8" t="n">
        <v>0.75</v>
      </c>
      <c r="E95" s="3" t="n">
        <v>850</v>
      </c>
      <c r="F95" s="3">
        <f>C95*D95*E95</f>
        <v/>
      </c>
      <c r="G95" s="3">
        <f>C95*344.38</f>
        <v/>
      </c>
      <c r="H95" s="3">
        <f>F95-G95</f>
        <v/>
      </c>
      <c r="I95" s="3" t="n">
        <v>6281.43</v>
      </c>
      <c r="J95" s="3">
        <f>H95-I95</f>
        <v/>
      </c>
      <c r="K95" s="9">
        <f>H95/I95</f>
        <v/>
      </c>
    </row>
    <row r="96">
      <c r="A96" t="n">
        <v>8</v>
      </c>
      <c r="B96" t="n">
        <v>9</v>
      </c>
      <c r="C96" t="n">
        <v>67</v>
      </c>
      <c r="D96" s="8" t="n">
        <v>0.75</v>
      </c>
      <c r="E96" s="3" t="n">
        <v>850</v>
      </c>
      <c r="F96" s="3">
        <f>C96*D96*E96</f>
        <v/>
      </c>
      <c r="G96" s="3">
        <f>C96*344.38</f>
        <v/>
      </c>
      <c r="H96" s="3">
        <f>F96-G96</f>
        <v/>
      </c>
      <c r="I96" s="3" t="n">
        <v>6281.43</v>
      </c>
      <c r="J96" s="3">
        <f>H96-I96</f>
        <v/>
      </c>
      <c r="K96" s="9">
        <f>H96/I96</f>
        <v/>
      </c>
    </row>
    <row r="97">
      <c r="A97" t="n">
        <v>8</v>
      </c>
      <c r="B97" t="n">
        <v>10</v>
      </c>
      <c r="C97" t="n">
        <v>67</v>
      </c>
      <c r="D97" s="8" t="n">
        <v>0.75</v>
      </c>
      <c r="E97" s="3" t="n">
        <v>850</v>
      </c>
      <c r="F97" s="3">
        <f>C97*D97*E97</f>
        <v/>
      </c>
      <c r="G97" s="3">
        <f>C97*344.38</f>
        <v/>
      </c>
      <c r="H97" s="3">
        <f>F97-G97</f>
        <v/>
      </c>
      <c r="I97" s="3" t="n">
        <v>6281.43</v>
      </c>
      <c r="J97" s="3">
        <f>H97-I97</f>
        <v/>
      </c>
      <c r="K97" s="9">
        <f>H97/I97</f>
        <v/>
      </c>
    </row>
    <row r="98">
      <c r="A98" t="n">
        <v>8</v>
      </c>
      <c r="B98" t="n">
        <v>11</v>
      </c>
      <c r="C98" t="n">
        <v>67</v>
      </c>
      <c r="D98" s="8" t="n">
        <v>0.75</v>
      </c>
      <c r="E98" s="3" t="n">
        <v>850</v>
      </c>
      <c r="F98" s="3">
        <f>C98*D98*E98</f>
        <v/>
      </c>
      <c r="G98" s="3">
        <f>C98*344.38</f>
        <v/>
      </c>
      <c r="H98" s="3">
        <f>F98-G98</f>
        <v/>
      </c>
      <c r="I98" s="3" t="n">
        <v>6281.43</v>
      </c>
      <c r="J98" s="3">
        <f>H98-I98</f>
        <v/>
      </c>
      <c r="K98" s="9">
        <f>H98/I98</f>
        <v/>
      </c>
    </row>
    <row r="99">
      <c r="A99" t="n">
        <v>8</v>
      </c>
      <c r="B99" t="n">
        <v>12</v>
      </c>
      <c r="C99" t="n">
        <v>67</v>
      </c>
      <c r="D99" s="8" t="n">
        <v>0.75</v>
      </c>
      <c r="E99" s="3" t="n">
        <v>850</v>
      </c>
      <c r="F99" s="3">
        <f>C99*D99*E99</f>
        <v/>
      </c>
      <c r="G99" s="3">
        <f>C99*344.38</f>
        <v/>
      </c>
      <c r="H99" s="3">
        <f>F99-G99</f>
        <v/>
      </c>
      <c r="I99" s="3" t="n">
        <v>6281.43</v>
      </c>
      <c r="J99" s="3">
        <f>H99-I99</f>
        <v/>
      </c>
      <c r="K99" s="9">
        <f>H99/I99</f>
        <v/>
      </c>
    </row>
    <row r="100">
      <c r="A100" t="n">
        <v>9</v>
      </c>
      <c r="B100" t="n">
        <v>1</v>
      </c>
      <c r="C100" t="n">
        <v>67</v>
      </c>
      <c r="D100" s="8" t="n">
        <v>0.75</v>
      </c>
      <c r="E100" s="3" t="n">
        <v>850</v>
      </c>
      <c r="F100" s="3">
        <f>C100*D100*E100</f>
        <v/>
      </c>
      <c r="G100" s="3">
        <f>C100*344.38</f>
        <v/>
      </c>
      <c r="H100" s="3">
        <f>F100-G100</f>
        <v/>
      </c>
      <c r="I100" s="3" t="n">
        <v>6281.43</v>
      </c>
      <c r="J100" s="3">
        <f>H100-I100</f>
        <v/>
      </c>
      <c r="K100" s="9">
        <f>H100/I100</f>
        <v/>
      </c>
    </row>
    <row r="101">
      <c r="A101" t="n">
        <v>9</v>
      </c>
      <c r="B101" t="n">
        <v>2</v>
      </c>
      <c r="C101" t="n">
        <v>67</v>
      </c>
      <c r="D101" s="8" t="n">
        <v>0.75</v>
      </c>
      <c r="E101" s="3" t="n">
        <v>850</v>
      </c>
      <c r="F101" s="3">
        <f>C101*D101*E101</f>
        <v/>
      </c>
      <c r="G101" s="3">
        <f>C101*344.38</f>
        <v/>
      </c>
      <c r="H101" s="3">
        <f>F101-G101</f>
        <v/>
      </c>
      <c r="I101" s="3" t="n">
        <v>6281.43</v>
      </c>
      <c r="J101" s="3">
        <f>H101-I101</f>
        <v/>
      </c>
      <c r="K101" s="9">
        <f>H101/I101</f>
        <v/>
      </c>
    </row>
    <row r="102">
      <c r="A102" t="n">
        <v>9</v>
      </c>
      <c r="B102" t="n">
        <v>3</v>
      </c>
      <c r="C102" t="n">
        <v>67</v>
      </c>
      <c r="D102" s="8" t="n">
        <v>0.75</v>
      </c>
      <c r="E102" s="3" t="n">
        <v>850</v>
      </c>
      <c r="F102" s="3">
        <f>C102*D102*E102</f>
        <v/>
      </c>
      <c r="G102" s="3">
        <f>C102*344.38</f>
        <v/>
      </c>
      <c r="H102" s="3">
        <f>F102-G102</f>
        <v/>
      </c>
      <c r="I102" s="3" t="n">
        <v>6281.43</v>
      </c>
      <c r="J102" s="3">
        <f>H102-I102</f>
        <v/>
      </c>
      <c r="K102" s="9">
        <f>H102/I102</f>
        <v/>
      </c>
    </row>
    <row r="103">
      <c r="A103" t="n">
        <v>9</v>
      </c>
      <c r="B103" t="n">
        <v>4</v>
      </c>
      <c r="C103" t="n">
        <v>67</v>
      </c>
      <c r="D103" s="8" t="n">
        <v>0.75</v>
      </c>
      <c r="E103" s="3" t="n">
        <v>850</v>
      </c>
      <c r="F103" s="3">
        <f>C103*D103*E103</f>
        <v/>
      </c>
      <c r="G103" s="3">
        <f>C103*344.38</f>
        <v/>
      </c>
      <c r="H103" s="3">
        <f>F103-G103</f>
        <v/>
      </c>
      <c r="I103" s="3" t="n">
        <v>6281.43</v>
      </c>
      <c r="J103" s="3">
        <f>H103-I103</f>
        <v/>
      </c>
      <c r="K103" s="9">
        <f>H103/I103</f>
        <v/>
      </c>
    </row>
    <row r="104">
      <c r="A104" t="n">
        <v>9</v>
      </c>
      <c r="B104" t="n">
        <v>5</v>
      </c>
      <c r="C104" t="n">
        <v>67</v>
      </c>
      <c r="D104" s="8" t="n">
        <v>0.75</v>
      </c>
      <c r="E104" s="3" t="n">
        <v>850</v>
      </c>
      <c r="F104" s="3">
        <f>C104*D104*E104</f>
        <v/>
      </c>
      <c r="G104" s="3">
        <f>C104*344.38</f>
        <v/>
      </c>
      <c r="H104" s="3">
        <f>F104-G104</f>
        <v/>
      </c>
      <c r="I104" s="3" t="n">
        <v>6281.43</v>
      </c>
      <c r="J104" s="3">
        <f>H104-I104</f>
        <v/>
      </c>
      <c r="K104" s="9">
        <f>H104/I104</f>
        <v/>
      </c>
    </row>
    <row r="105">
      <c r="A105" t="n">
        <v>9</v>
      </c>
      <c r="B105" t="n">
        <v>6</v>
      </c>
      <c r="C105" t="n">
        <v>67</v>
      </c>
      <c r="D105" s="8" t="n">
        <v>0.75</v>
      </c>
      <c r="E105" s="3" t="n">
        <v>850</v>
      </c>
      <c r="F105" s="3">
        <f>C105*D105*E105</f>
        <v/>
      </c>
      <c r="G105" s="3">
        <f>C105*344.38</f>
        <v/>
      </c>
      <c r="H105" s="3">
        <f>F105-G105</f>
        <v/>
      </c>
      <c r="I105" s="3" t="n">
        <v>6281.43</v>
      </c>
      <c r="J105" s="3">
        <f>H105-I105</f>
        <v/>
      </c>
      <c r="K105" s="9">
        <f>H105/I105</f>
        <v/>
      </c>
    </row>
    <row r="106">
      <c r="A106" t="n">
        <v>9</v>
      </c>
      <c r="B106" t="n">
        <v>7</v>
      </c>
      <c r="C106" t="n">
        <v>67</v>
      </c>
      <c r="D106" s="8" t="n">
        <v>0.75</v>
      </c>
      <c r="E106" s="3" t="n">
        <v>850</v>
      </c>
      <c r="F106" s="3">
        <f>C106*D106*E106</f>
        <v/>
      </c>
      <c r="G106" s="3">
        <f>C106*344.38</f>
        <v/>
      </c>
      <c r="H106" s="3">
        <f>F106-G106</f>
        <v/>
      </c>
      <c r="I106" s="3" t="n">
        <v>6281.43</v>
      </c>
      <c r="J106" s="3">
        <f>H106-I106</f>
        <v/>
      </c>
      <c r="K106" s="9">
        <f>H106/I106</f>
        <v/>
      </c>
    </row>
    <row r="107">
      <c r="A107" t="n">
        <v>9</v>
      </c>
      <c r="B107" t="n">
        <v>8</v>
      </c>
      <c r="C107" t="n">
        <v>67</v>
      </c>
      <c r="D107" s="8" t="n">
        <v>0.75</v>
      </c>
      <c r="E107" s="3" t="n">
        <v>850</v>
      </c>
      <c r="F107" s="3">
        <f>C107*D107*E107</f>
        <v/>
      </c>
      <c r="G107" s="3">
        <f>C107*344.38</f>
        <v/>
      </c>
      <c r="H107" s="3">
        <f>F107-G107</f>
        <v/>
      </c>
      <c r="I107" s="3" t="n">
        <v>6281.43</v>
      </c>
      <c r="J107" s="3">
        <f>H107-I107</f>
        <v/>
      </c>
      <c r="K107" s="9">
        <f>H107/I107</f>
        <v/>
      </c>
    </row>
    <row r="108">
      <c r="A108" t="n">
        <v>9</v>
      </c>
      <c r="B108" t="n">
        <v>9</v>
      </c>
      <c r="C108" t="n">
        <v>67</v>
      </c>
      <c r="D108" s="8" t="n">
        <v>0.75</v>
      </c>
      <c r="E108" s="3" t="n">
        <v>850</v>
      </c>
      <c r="F108" s="3">
        <f>C108*D108*E108</f>
        <v/>
      </c>
      <c r="G108" s="3">
        <f>C108*344.38</f>
        <v/>
      </c>
      <c r="H108" s="3">
        <f>F108-G108</f>
        <v/>
      </c>
      <c r="I108" s="3" t="n">
        <v>6281.43</v>
      </c>
      <c r="J108" s="3">
        <f>H108-I108</f>
        <v/>
      </c>
      <c r="K108" s="9">
        <f>H108/I108</f>
        <v/>
      </c>
    </row>
    <row r="109">
      <c r="A109" t="n">
        <v>9</v>
      </c>
      <c r="B109" t="n">
        <v>10</v>
      </c>
      <c r="C109" t="n">
        <v>67</v>
      </c>
      <c r="D109" s="8" t="n">
        <v>0.75</v>
      </c>
      <c r="E109" s="3" t="n">
        <v>850</v>
      </c>
      <c r="F109" s="3">
        <f>C109*D109*E109</f>
        <v/>
      </c>
      <c r="G109" s="3">
        <f>C109*344.38</f>
        <v/>
      </c>
      <c r="H109" s="3">
        <f>F109-G109</f>
        <v/>
      </c>
      <c r="I109" s="3" t="n">
        <v>6281.43</v>
      </c>
      <c r="J109" s="3">
        <f>H109-I109</f>
        <v/>
      </c>
      <c r="K109" s="9">
        <f>H109/I109</f>
        <v/>
      </c>
    </row>
    <row r="110">
      <c r="A110" t="n">
        <v>9</v>
      </c>
      <c r="B110" t="n">
        <v>11</v>
      </c>
      <c r="C110" t="n">
        <v>67</v>
      </c>
      <c r="D110" s="8" t="n">
        <v>0.75</v>
      </c>
      <c r="E110" s="3" t="n">
        <v>850</v>
      </c>
      <c r="F110" s="3">
        <f>C110*D110*E110</f>
        <v/>
      </c>
      <c r="G110" s="3">
        <f>C110*344.38</f>
        <v/>
      </c>
      <c r="H110" s="3">
        <f>F110-G110</f>
        <v/>
      </c>
      <c r="I110" s="3" t="n">
        <v>6281.43</v>
      </c>
      <c r="J110" s="3">
        <f>H110-I110</f>
        <v/>
      </c>
      <c r="K110" s="9">
        <f>H110/I110</f>
        <v/>
      </c>
    </row>
    <row r="111">
      <c r="A111" t="n">
        <v>9</v>
      </c>
      <c r="B111" t="n">
        <v>12</v>
      </c>
      <c r="C111" t="n">
        <v>67</v>
      </c>
      <c r="D111" s="8" t="n">
        <v>0.75</v>
      </c>
      <c r="E111" s="3" t="n">
        <v>850</v>
      </c>
      <c r="F111" s="3">
        <f>C111*D111*E111</f>
        <v/>
      </c>
      <c r="G111" s="3">
        <f>C111*344.38</f>
        <v/>
      </c>
      <c r="H111" s="3">
        <f>F111-G111</f>
        <v/>
      </c>
      <c r="I111" s="3" t="n">
        <v>6281.43</v>
      </c>
      <c r="J111" s="3">
        <f>H111-I111</f>
        <v/>
      </c>
      <c r="K111" s="9">
        <f>H111/I111</f>
        <v/>
      </c>
    </row>
    <row r="112">
      <c r="A112" t="n">
        <v>10</v>
      </c>
      <c r="B112" t="n">
        <v>1</v>
      </c>
      <c r="C112" t="n">
        <v>67</v>
      </c>
      <c r="D112" s="8" t="n">
        <v>0.75</v>
      </c>
      <c r="E112" s="3" t="n">
        <v>850</v>
      </c>
      <c r="F112" s="3">
        <f>C112*D112*E112</f>
        <v/>
      </c>
      <c r="G112" s="3">
        <f>C112*344.38</f>
        <v/>
      </c>
      <c r="H112" s="3">
        <f>F112-G112</f>
        <v/>
      </c>
      <c r="I112" s="3" t="n">
        <v>6281.43</v>
      </c>
      <c r="J112" s="3">
        <f>H112-I112</f>
        <v/>
      </c>
      <c r="K112" s="9">
        <f>H112/I112</f>
        <v/>
      </c>
    </row>
    <row r="113">
      <c r="A113" t="n">
        <v>10</v>
      </c>
      <c r="B113" t="n">
        <v>2</v>
      </c>
      <c r="C113" t="n">
        <v>67</v>
      </c>
      <c r="D113" s="8" t="n">
        <v>0.75</v>
      </c>
      <c r="E113" s="3" t="n">
        <v>850</v>
      </c>
      <c r="F113" s="3">
        <f>C113*D113*E113</f>
        <v/>
      </c>
      <c r="G113" s="3">
        <f>C113*344.38</f>
        <v/>
      </c>
      <c r="H113" s="3">
        <f>F113-G113</f>
        <v/>
      </c>
      <c r="I113" s="3" t="n">
        <v>6281.43</v>
      </c>
      <c r="J113" s="3">
        <f>H113-I113</f>
        <v/>
      </c>
      <c r="K113" s="9">
        <f>H113/I113</f>
        <v/>
      </c>
    </row>
    <row r="114">
      <c r="A114" t="n">
        <v>10</v>
      </c>
      <c r="B114" t="n">
        <v>3</v>
      </c>
      <c r="C114" t="n">
        <v>67</v>
      </c>
      <c r="D114" s="8" t="n">
        <v>0.75</v>
      </c>
      <c r="E114" s="3" t="n">
        <v>850</v>
      </c>
      <c r="F114" s="3">
        <f>C114*D114*E114</f>
        <v/>
      </c>
      <c r="G114" s="3">
        <f>C114*344.38</f>
        <v/>
      </c>
      <c r="H114" s="3">
        <f>F114-G114</f>
        <v/>
      </c>
      <c r="I114" s="3" t="n">
        <v>6281.43</v>
      </c>
      <c r="J114" s="3">
        <f>H114-I114</f>
        <v/>
      </c>
      <c r="K114" s="9">
        <f>H114/I114</f>
        <v/>
      </c>
    </row>
    <row r="115">
      <c r="A115" t="n">
        <v>10</v>
      </c>
      <c r="B115" t="n">
        <v>4</v>
      </c>
      <c r="C115" t="n">
        <v>67</v>
      </c>
      <c r="D115" s="8" t="n">
        <v>0.75</v>
      </c>
      <c r="E115" s="3" t="n">
        <v>850</v>
      </c>
      <c r="F115" s="3">
        <f>C115*D115*E115</f>
        <v/>
      </c>
      <c r="G115" s="3">
        <f>C115*344.38</f>
        <v/>
      </c>
      <c r="H115" s="3">
        <f>F115-G115</f>
        <v/>
      </c>
      <c r="I115" s="3" t="n">
        <v>6281.43</v>
      </c>
      <c r="J115" s="3">
        <f>H115-I115</f>
        <v/>
      </c>
      <c r="K115" s="9">
        <f>H115/I115</f>
        <v/>
      </c>
    </row>
    <row r="116">
      <c r="A116" t="n">
        <v>10</v>
      </c>
      <c r="B116" t="n">
        <v>5</v>
      </c>
      <c r="C116" t="n">
        <v>67</v>
      </c>
      <c r="D116" s="8" t="n">
        <v>0.75</v>
      </c>
      <c r="E116" s="3" t="n">
        <v>850</v>
      </c>
      <c r="F116" s="3">
        <f>C116*D116*E116</f>
        <v/>
      </c>
      <c r="G116" s="3">
        <f>C116*344.38</f>
        <v/>
      </c>
      <c r="H116" s="3">
        <f>F116-G116</f>
        <v/>
      </c>
      <c r="I116" s="3" t="n">
        <v>6281.43</v>
      </c>
      <c r="J116" s="3">
        <f>H116-I116</f>
        <v/>
      </c>
      <c r="K116" s="9">
        <f>H116/I116</f>
        <v/>
      </c>
    </row>
    <row r="117">
      <c r="A117" t="n">
        <v>10</v>
      </c>
      <c r="B117" t="n">
        <v>6</v>
      </c>
      <c r="C117" t="n">
        <v>67</v>
      </c>
      <c r="D117" s="8" t="n">
        <v>0.75</v>
      </c>
      <c r="E117" s="3" t="n">
        <v>850</v>
      </c>
      <c r="F117" s="3">
        <f>C117*D117*E117</f>
        <v/>
      </c>
      <c r="G117" s="3">
        <f>C117*344.38</f>
        <v/>
      </c>
      <c r="H117" s="3">
        <f>F117-G117</f>
        <v/>
      </c>
      <c r="I117" s="3" t="n">
        <v>6281.43</v>
      </c>
      <c r="J117" s="3">
        <f>H117-I117</f>
        <v/>
      </c>
      <c r="K117" s="9">
        <f>H117/I117</f>
        <v/>
      </c>
    </row>
    <row r="118">
      <c r="A118" t="n">
        <v>10</v>
      </c>
      <c r="B118" t="n">
        <v>7</v>
      </c>
      <c r="C118" t="n">
        <v>67</v>
      </c>
      <c r="D118" s="8" t="n">
        <v>0.75</v>
      </c>
      <c r="E118" s="3" t="n">
        <v>850</v>
      </c>
      <c r="F118" s="3">
        <f>C118*D118*E118</f>
        <v/>
      </c>
      <c r="G118" s="3">
        <f>C118*344.38</f>
        <v/>
      </c>
      <c r="H118" s="3">
        <f>F118-G118</f>
        <v/>
      </c>
      <c r="I118" s="3" t="n">
        <v>6281.43</v>
      </c>
      <c r="J118" s="3">
        <f>H118-I118</f>
        <v/>
      </c>
      <c r="K118" s="9">
        <f>H118/I118</f>
        <v/>
      </c>
    </row>
    <row r="119">
      <c r="A119" t="n">
        <v>10</v>
      </c>
      <c r="B119" t="n">
        <v>8</v>
      </c>
      <c r="C119" t="n">
        <v>67</v>
      </c>
      <c r="D119" s="8" t="n">
        <v>0.75</v>
      </c>
      <c r="E119" s="3" t="n">
        <v>850</v>
      </c>
      <c r="F119" s="3">
        <f>C119*D119*E119</f>
        <v/>
      </c>
      <c r="G119" s="3">
        <f>C119*344.38</f>
        <v/>
      </c>
      <c r="H119" s="3">
        <f>F119-G119</f>
        <v/>
      </c>
      <c r="I119" s="3" t="n">
        <v>6281.43</v>
      </c>
      <c r="J119" s="3">
        <f>H119-I119</f>
        <v/>
      </c>
      <c r="K119" s="9">
        <f>H119/I119</f>
        <v/>
      </c>
    </row>
    <row r="120">
      <c r="A120" t="n">
        <v>10</v>
      </c>
      <c r="B120" t="n">
        <v>9</v>
      </c>
      <c r="C120" t="n">
        <v>67</v>
      </c>
      <c r="D120" s="8" t="n">
        <v>0.75</v>
      </c>
      <c r="E120" s="3" t="n">
        <v>850</v>
      </c>
      <c r="F120" s="3">
        <f>C120*D120*E120</f>
        <v/>
      </c>
      <c r="G120" s="3">
        <f>C120*344.38</f>
        <v/>
      </c>
      <c r="H120" s="3">
        <f>F120-G120</f>
        <v/>
      </c>
      <c r="I120" s="3" t="n">
        <v>6281.43</v>
      </c>
      <c r="J120" s="3">
        <f>H120-I120</f>
        <v/>
      </c>
      <c r="K120" s="9">
        <f>H120/I120</f>
        <v/>
      </c>
    </row>
    <row r="121">
      <c r="A121" t="n">
        <v>10</v>
      </c>
      <c r="B121" t="n">
        <v>10</v>
      </c>
      <c r="C121" t="n">
        <v>67</v>
      </c>
      <c r="D121" s="8" t="n">
        <v>0.75</v>
      </c>
      <c r="E121" s="3" t="n">
        <v>850</v>
      </c>
      <c r="F121" s="3">
        <f>C121*D121*E121</f>
        <v/>
      </c>
      <c r="G121" s="3">
        <f>C121*344.38</f>
        <v/>
      </c>
      <c r="H121" s="3">
        <f>F121-G121</f>
        <v/>
      </c>
      <c r="I121" s="3" t="n">
        <v>6281.43</v>
      </c>
      <c r="J121" s="3">
        <f>H121-I121</f>
        <v/>
      </c>
      <c r="K121" s="9">
        <f>H121/I121</f>
        <v/>
      </c>
    </row>
    <row r="122">
      <c r="A122" t="n">
        <v>10</v>
      </c>
      <c r="B122" t="n">
        <v>11</v>
      </c>
      <c r="C122" t="n">
        <v>67</v>
      </c>
      <c r="D122" s="8" t="n">
        <v>0.75</v>
      </c>
      <c r="E122" s="3" t="n">
        <v>850</v>
      </c>
      <c r="F122" s="3">
        <f>C122*D122*E122</f>
        <v/>
      </c>
      <c r="G122" s="3">
        <f>C122*344.38</f>
        <v/>
      </c>
      <c r="H122" s="3">
        <f>F122-G122</f>
        <v/>
      </c>
      <c r="I122" s="3" t="n">
        <v>6281.43</v>
      </c>
      <c r="J122" s="3">
        <f>H122-I122</f>
        <v/>
      </c>
      <c r="K122" s="9">
        <f>H122/I122</f>
        <v/>
      </c>
    </row>
    <row r="123">
      <c r="A123" t="n">
        <v>10</v>
      </c>
      <c r="B123" t="n">
        <v>12</v>
      </c>
      <c r="C123" t="n">
        <v>67</v>
      </c>
      <c r="D123" s="8" t="n">
        <v>0.75</v>
      </c>
      <c r="E123" s="3" t="n">
        <v>850</v>
      </c>
      <c r="F123" s="3">
        <f>C123*D123*E123</f>
        <v/>
      </c>
      <c r="G123" s="3">
        <f>C123*344.38</f>
        <v/>
      </c>
      <c r="H123" s="3">
        <f>F123-G123</f>
        <v/>
      </c>
      <c r="I123" s="3" t="n">
        <v>6281.43</v>
      </c>
      <c r="J123" s="3">
        <f>H123-I123</f>
        <v/>
      </c>
      <c r="K123" s="9">
        <f>H123/I123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ANNUAL SUMMARY</t>
        </is>
      </c>
    </row>
    <row r="3">
      <c r="A3" s="2" t="inlineStr">
        <is>
          <t>Year</t>
        </is>
      </c>
      <c r="B3" s="2" t="inlineStr">
        <is>
          <t>Gross Revenue</t>
        </is>
      </c>
      <c r="C3" s="2" t="inlineStr">
        <is>
          <t>Operating Exp</t>
        </is>
      </c>
      <c r="D3" s="2" t="inlineStr">
        <is>
          <t>NOI</t>
        </is>
      </c>
      <c r="E3" s="2" t="inlineStr">
        <is>
          <t>Debt Service</t>
        </is>
      </c>
      <c r="F3" s="2" t="inlineStr">
        <is>
          <t>Cash Flow</t>
        </is>
      </c>
      <c r="G3" s="2" t="inlineStr">
        <is>
          <t>DSCR</t>
        </is>
      </c>
    </row>
    <row r="4">
      <c r="A4" t="n">
        <v>1</v>
      </c>
      <c r="B4" s="3">
        <f>SUM('10-Year Cash Flow'!F4:F15)</f>
        <v/>
      </c>
      <c r="C4" s="3">
        <f>SUM('10-Year Cash Flow'!G4:G15)</f>
        <v/>
      </c>
      <c r="D4" s="3">
        <f>B4-C4</f>
        <v/>
      </c>
      <c r="E4" s="3">
        <f>SUM('10-Year Cash Flow'!I4:I15)</f>
        <v/>
      </c>
      <c r="F4" s="3">
        <f>D4-E4</f>
        <v/>
      </c>
      <c r="G4" s="9">
        <f>D4/E4</f>
        <v/>
      </c>
    </row>
    <row r="5">
      <c r="A5" t="n">
        <v>2</v>
      </c>
      <c r="B5" s="3">
        <f>SUM('10-Year Cash Flow'!F16:F27)</f>
        <v/>
      </c>
      <c r="C5" s="3">
        <f>SUM('10-Year Cash Flow'!G16:G27)</f>
        <v/>
      </c>
      <c r="D5" s="3">
        <f>B5-C5</f>
        <v/>
      </c>
      <c r="E5" s="3">
        <f>SUM('10-Year Cash Flow'!I16:I27)</f>
        <v/>
      </c>
      <c r="F5" s="3">
        <f>D5-E5</f>
        <v/>
      </c>
      <c r="G5" s="9">
        <f>D5/E5</f>
        <v/>
      </c>
    </row>
    <row r="6">
      <c r="A6" t="n">
        <v>3</v>
      </c>
      <c r="B6" s="3">
        <f>SUM('10-Year Cash Flow'!F28:F39)</f>
        <v/>
      </c>
      <c r="C6" s="3">
        <f>SUM('10-Year Cash Flow'!G28:G39)</f>
        <v/>
      </c>
      <c r="D6" s="3">
        <f>B6-C6</f>
        <v/>
      </c>
      <c r="E6" s="3">
        <f>SUM('10-Year Cash Flow'!I28:I39)</f>
        <v/>
      </c>
      <c r="F6" s="3">
        <f>D6-E6</f>
        <v/>
      </c>
      <c r="G6" s="9">
        <f>D6/E6</f>
        <v/>
      </c>
    </row>
    <row r="7">
      <c r="A7" t="n">
        <v>4</v>
      </c>
      <c r="B7" s="3">
        <f>SUM('10-Year Cash Flow'!F40:F51)</f>
        <v/>
      </c>
      <c r="C7" s="3">
        <f>SUM('10-Year Cash Flow'!G40:G51)</f>
        <v/>
      </c>
      <c r="D7" s="3">
        <f>B7-C7</f>
        <v/>
      </c>
      <c r="E7" s="3">
        <f>SUM('10-Year Cash Flow'!I40:I51)</f>
        <v/>
      </c>
      <c r="F7" s="3">
        <f>D7-E7</f>
        <v/>
      </c>
      <c r="G7" s="9">
        <f>D7/E7</f>
        <v/>
      </c>
    </row>
    <row r="8">
      <c r="A8" t="n">
        <v>5</v>
      </c>
      <c r="B8" s="3">
        <f>SUM('10-Year Cash Flow'!F52:F63)</f>
        <v/>
      </c>
      <c r="C8" s="3">
        <f>SUM('10-Year Cash Flow'!G52:G63)</f>
        <v/>
      </c>
      <c r="D8" s="3">
        <f>B8-C8</f>
        <v/>
      </c>
      <c r="E8" s="3">
        <f>SUM('10-Year Cash Flow'!I52:I63)</f>
        <v/>
      </c>
      <c r="F8" s="3">
        <f>D8-E8</f>
        <v/>
      </c>
      <c r="G8" s="9">
        <f>D8/E8</f>
        <v/>
      </c>
    </row>
    <row r="9">
      <c r="A9" t="n">
        <v>6</v>
      </c>
      <c r="B9" s="3">
        <f>SUM('10-Year Cash Flow'!F64:F75)</f>
        <v/>
      </c>
      <c r="C9" s="3">
        <f>SUM('10-Year Cash Flow'!G64:G75)</f>
        <v/>
      </c>
      <c r="D9" s="3">
        <f>B9-C9</f>
        <v/>
      </c>
      <c r="E9" s="3">
        <f>SUM('10-Year Cash Flow'!I64:I75)</f>
        <v/>
      </c>
      <c r="F9" s="3">
        <f>D9-E9</f>
        <v/>
      </c>
      <c r="G9" s="9">
        <f>D9/E9</f>
        <v/>
      </c>
    </row>
    <row r="10">
      <c r="A10" t="n">
        <v>7</v>
      </c>
      <c r="B10" s="3">
        <f>SUM('10-Year Cash Flow'!F76:F87)</f>
        <v/>
      </c>
      <c r="C10" s="3">
        <f>SUM('10-Year Cash Flow'!G76:G87)</f>
        <v/>
      </c>
      <c r="D10" s="3">
        <f>B10-C10</f>
        <v/>
      </c>
      <c r="E10" s="3">
        <f>SUM('10-Year Cash Flow'!I76:I87)</f>
        <v/>
      </c>
      <c r="F10" s="3">
        <f>D10-E10</f>
        <v/>
      </c>
      <c r="G10" s="9">
        <f>D10/E10</f>
        <v/>
      </c>
    </row>
    <row r="11">
      <c r="A11" t="n">
        <v>8</v>
      </c>
      <c r="B11" s="3">
        <f>SUM('10-Year Cash Flow'!F88:F99)</f>
        <v/>
      </c>
      <c r="C11" s="3">
        <f>SUM('10-Year Cash Flow'!G88:G99)</f>
        <v/>
      </c>
      <c r="D11" s="3">
        <f>B11-C11</f>
        <v/>
      </c>
      <c r="E11" s="3">
        <f>SUM('10-Year Cash Flow'!I88:I99)</f>
        <v/>
      </c>
      <c r="F11" s="3">
        <f>D11-E11</f>
        <v/>
      </c>
      <c r="G11" s="9">
        <f>D11/E11</f>
        <v/>
      </c>
    </row>
    <row r="12">
      <c r="A12" t="n">
        <v>9</v>
      </c>
      <c r="B12" s="3">
        <f>SUM('10-Year Cash Flow'!F100:F111)</f>
        <v/>
      </c>
      <c r="C12" s="3">
        <f>SUM('10-Year Cash Flow'!G100:G111)</f>
        <v/>
      </c>
      <c r="D12" s="3">
        <f>B12-C12</f>
        <v/>
      </c>
      <c r="E12" s="3">
        <f>SUM('10-Year Cash Flow'!I100:I111)</f>
        <v/>
      </c>
      <c r="F12" s="3">
        <f>D12-E12</f>
        <v/>
      </c>
      <c r="G12" s="9">
        <f>D12/E12</f>
        <v/>
      </c>
    </row>
    <row r="13">
      <c r="A13" t="n">
        <v>10</v>
      </c>
      <c r="B13" s="3">
        <f>SUM('10-Year Cash Flow'!F112:F123)</f>
        <v/>
      </c>
      <c r="C13" s="3">
        <f>SUM('10-Year Cash Flow'!G112:G123)</f>
        <v/>
      </c>
      <c r="D13" s="3">
        <f>B13-C13</f>
        <v/>
      </c>
      <c r="E13" s="3">
        <f>SUM('10-Year Cash Flow'!I112:I123)</f>
        <v/>
      </c>
      <c r="F13" s="3">
        <f>D13-E13</f>
        <v/>
      </c>
      <c r="G13" s="9">
        <f>D13/E13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3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DEBT SERVICE SCHEDULE (25 Years)</t>
        </is>
      </c>
    </row>
    <row r="3">
      <c r="A3" s="2" t="inlineStr">
        <is>
          <t>Month</t>
        </is>
      </c>
      <c r="B3" s="2" t="inlineStr">
        <is>
          <t>Payment</t>
        </is>
      </c>
      <c r="C3" s="2" t="inlineStr">
        <is>
          <t>Interest</t>
        </is>
      </c>
      <c r="D3" s="2" t="inlineStr">
        <is>
          <t>Principal</t>
        </is>
      </c>
      <c r="E3" s="2" t="inlineStr">
        <is>
          <t>Balance</t>
        </is>
      </c>
    </row>
    <row r="4">
      <c r="A4" t="n">
        <v>1</v>
      </c>
      <c r="B4" s="6" t="n">
        <v>6281.43</v>
      </c>
      <c r="C4" s="6" t="n">
        <v>5312.5</v>
      </c>
      <c r="D4" s="6" t="n">
        <v>968.9300000000003</v>
      </c>
      <c r="E4" s="6" t="n">
        <v>849031.0699999999</v>
      </c>
    </row>
    <row r="5">
      <c r="A5" t="n">
        <v>2</v>
      </c>
      <c r="B5" s="6" t="n">
        <v>6281.43</v>
      </c>
      <c r="C5" s="6" t="n">
        <v>5306.444187499999</v>
      </c>
      <c r="D5" s="6" t="n">
        <v>974.985812500001</v>
      </c>
      <c r="E5" s="6" t="n">
        <v>848056.0841874999</v>
      </c>
    </row>
    <row r="6">
      <c r="A6" t="n">
        <v>3</v>
      </c>
      <c r="B6" s="6" t="n">
        <v>6281.43</v>
      </c>
      <c r="C6" s="6" t="n">
        <v>5300.350526171875</v>
      </c>
      <c r="D6" s="6" t="n">
        <v>981.0794738281256</v>
      </c>
      <c r="E6" s="6" t="n">
        <v>847075.0047136719</v>
      </c>
    </row>
    <row r="7">
      <c r="A7" t="n">
        <v>4</v>
      </c>
      <c r="B7" s="6" t="n">
        <v>6281.43</v>
      </c>
      <c r="C7" s="6" t="n">
        <v>5294.218779460449</v>
      </c>
      <c r="D7" s="6" t="n">
        <v>987.2112205395515</v>
      </c>
      <c r="E7" s="6" t="n">
        <v>846087.7934931323</v>
      </c>
    </row>
    <row r="8">
      <c r="A8" t="n">
        <v>5</v>
      </c>
      <c r="B8" s="6" t="n">
        <v>6281.43</v>
      </c>
      <c r="C8" s="6" t="n">
        <v>5288.048709332077</v>
      </c>
      <c r="D8" s="6" t="n">
        <v>993.3812906679232</v>
      </c>
      <c r="E8" s="6" t="n">
        <v>845094.4122024644</v>
      </c>
    </row>
    <row r="9">
      <c r="A9" t="n">
        <v>6</v>
      </c>
      <c r="B9" s="6" t="n">
        <v>6281.43</v>
      </c>
      <c r="C9" s="6" t="n">
        <v>5281.840076265402</v>
      </c>
      <c r="D9" s="6" t="n">
        <v>999.5899237345984</v>
      </c>
      <c r="E9" s="6" t="n">
        <v>844094.8222787299</v>
      </c>
    </row>
    <row r="10">
      <c r="A10" t="n">
        <v>7</v>
      </c>
      <c r="B10" s="6" t="n">
        <v>6281.43</v>
      </c>
      <c r="C10" s="6" t="n">
        <v>5275.592639242062</v>
      </c>
      <c r="D10" s="6" t="n">
        <v>1005.837360757939</v>
      </c>
      <c r="E10" s="6" t="n">
        <v>843088.9849179719</v>
      </c>
    </row>
    <row r="11">
      <c r="A11" t="n">
        <v>8</v>
      </c>
      <c r="B11" s="6" t="n">
        <v>6281.43</v>
      </c>
      <c r="C11" s="6" t="n">
        <v>5269.306155737324</v>
      </c>
      <c r="D11" s="6" t="n">
        <v>1012.123844262676</v>
      </c>
      <c r="E11" s="6" t="n">
        <v>842076.8610737092</v>
      </c>
    </row>
    <row r="12">
      <c r="A12" t="n">
        <v>9</v>
      </c>
      <c r="B12" s="6" t="n">
        <v>6281.43</v>
      </c>
      <c r="C12" s="6" t="n">
        <v>5262.980381710682</v>
      </c>
      <c r="D12" s="6" t="n">
        <v>1018.449618289318</v>
      </c>
      <c r="E12" s="6" t="n">
        <v>841058.4114554198</v>
      </c>
    </row>
    <row r="13">
      <c r="A13" t="n">
        <v>10</v>
      </c>
      <c r="B13" s="6" t="n">
        <v>6281.43</v>
      </c>
      <c r="C13" s="6" t="n">
        <v>5256.615071596374</v>
      </c>
      <c r="D13" s="6" t="n">
        <v>1024.814928403626</v>
      </c>
      <c r="E13" s="6" t="n">
        <v>840033.5965270163</v>
      </c>
    </row>
    <row r="14">
      <c r="A14" t="n">
        <v>11</v>
      </c>
      <c r="B14" s="6" t="n">
        <v>6281.43</v>
      </c>
      <c r="C14" s="6" t="n">
        <v>5250.209978293851</v>
      </c>
      <c r="D14" s="6" t="n">
        <v>1031.220021706149</v>
      </c>
      <c r="E14" s="6" t="n">
        <v>839002.3765053101</v>
      </c>
    </row>
    <row r="15">
      <c r="A15" t="n">
        <v>12</v>
      </c>
      <c r="B15" s="6" t="n">
        <v>6281.43</v>
      </c>
      <c r="C15" s="6" t="n">
        <v>5243.764853158187</v>
      </c>
      <c r="D15" s="6" t="n">
        <v>1037.665146841813</v>
      </c>
      <c r="E15" s="6" t="n">
        <v>837964.7113584683</v>
      </c>
    </row>
    <row r="16">
      <c r="A16" t="n">
        <v>13</v>
      </c>
      <c r="B16" s="6" t="n">
        <v>6281.43</v>
      </c>
      <c r="C16" s="6" t="n">
        <v>5237.279445990426</v>
      </c>
      <c r="D16" s="6" t="n">
        <v>1044.150554009574</v>
      </c>
      <c r="E16" s="6" t="n">
        <v>836920.5608044587</v>
      </c>
    </row>
    <row r="17">
      <c r="A17" t="n">
        <v>14</v>
      </c>
      <c r="B17" s="6" t="n">
        <v>6281.43</v>
      </c>
      <c r="C17" s="6" t="n">
        <v>5230.753505027867</v>
      </c>
      <c r="D17" s="6" t="n">
        <v>1050.676494972134</v>
      </c>
      <c r="E17" s="6" t="n">
        <v>835869.8843094866</v>
      </c>
    </row>
    <row r="18">
      <c r="A18" t="n">
        <v>15</v>
      </c>
      <c r="B18" s="6" t="n">
        <v>6281.43</v>
      </c>
      <c r="C18" s="6" t="n">
        <v>5224.186776934291</v>
      </c>
      <c r="D18" s="6" t="n">
        <v>1057.24322306571</v>
      </c>
      <c r="E18" s="6" t="n">
        <v>834812.6410864209</v>
      </c>
    </row>
    <row r="19">
      <c r="A19" t="n">
        <v>16</v>
      </c>
      <c r="B19" s="6" t="n">
        <v>6281.43</v>
      </c>
      <c r="C19" s="6" t="n">
        <v>5217.57900679013</v>
      </c>
      <c r="D19" s="6" t="n">
        <v>1063.85099320987</v>
      </c>
      <c r="E19" s="6" t="n">
        <v>833748.790093211</v>
      </c>
    </row>
    <row r="20">
      <c r="A20" t="n">
        <v>17</v>
      </c>
      <c r="B20" s="6" t="n">
        <v>6281.43</v>
      </c>
      <c r="C20" s="6" t="n">
        <v>5210.929938082569</v>
      </c>
      <c r="D20" s="6" t="n">
        <v>1070.500061917432</v>
      </c>
      <c r="E20" s="6" t="n">
        <v>832678.2900312935</v>
      </c>
    </row>
    <row r="21">
      <c r="A21" t="n">
        <v>18</v>
      </c>
      <c r="B21" s="6" t="n">
        <v>6281.43</v>
      </c>
      <c r="C21" s="6" t="n">
        <v>5204.239312695584</v>
      </c>
      <c r="D21" s="6" t="n">
        <v>1077.190687304416</v>
      </c>
      <c r="E21" s="6" t="n">
        <v>831601.0993439892</v>
      </c>
    </row>
    <row r="22">
      <c r="A22" t="n">
        <v>19</v>
      </c>
      <c r="B22" s="6" t="n">
        <v>6281.43</v>
      </c>
      <c r="C22" s="6" t="n">
        <v>5197.506870899932</v>
      </c>
      <c r="D22" s="6" t="n">
        <v>1083.923129100069</v>
      </c>
      <c r="E22" s="6" t="n">
        <v>830517.176214889</v>
      </c>
    </row>
    <row r="23">
      <c r="A23" t="n">
        <v>20</v>
      </c>
      <c r="B23" s="6" t="n">
        <v>6281.43</v>
      </c>
      <c r="C23" s="6" t="n">
        <v>5190.732351343057</v>
      </c>
      <c r="D23" s="6" t="n">
        <v>1090.697648656944</v>
      </c>
      <c r="E23" s="6" t="n">
        <v>829426.4785662321</v>
      </c>
    </row>
    <row r="24">
      <c r="A24" t="n">
        <v>21</v>
      </c>
      <c r="B24" s="6" t="n">
        <v>6281.43</v>
      </c>
      <c r="C24" s="6" t="n">
        <v>5183.915491038951</v>
      </c>
      <c r="D24" s="6" t="n">
        <v>1097.51450896105</v>
      </c>
      <c r="E24" s="6" t="n">
        <v>828328.9640572711</v>
      </c>
    </row>
    <row r="25">
      <c r="A25" t="n">
        <v>22</v>
      </c>
      <c r="B25" s="6" t="n">
        <v>6281.43</v>
      </c>
      <c r="C25" s="6" t="n">
        <v>5177.056025357944</v>
      </c>
      <c r="D25" s="6" t="n">
        <v>1104.373974642056</v>
      </c>
      <c r="E25" s="6" t="n">
        <v>827224.5900826291</v>
      </c>
    </row>
    <row r="26">
      <c r="A26" t="n">
        <v>23</v>
      </c>
      <c r="B26" s="6" t="n">
        <v>6281.43</v>
      </c>
      <c r="C26" s="6" t="n">
        <v>5170.153688016431</v>
      </c>
      <c r="D26" s="6" t="n">
        <v>1111.276311983569</v>
      </c>
      <c r="E26" s="6" t="n">
        <v>826113.3137706455</v>
      </c>
    </row>
    <row r="27">
      <c r="A27" t="n">
        <v>24</v>
      </c>
      <c r="B27" s="6" t="n">
        <v>6281.43</v>
      </c>
      <c r="C27" s="6" t="n">
        <v>5163.208211066534</v>
      </c>
      <c r="D27" s="6" t="n">
        <v>1118.221788933466</v>
      </c>
      <c r="E27" s="6" t="n">
        <v>824995.091981712</v>
      </c>
    </row>
    <row r="28">
      <c r="A28" t="n">
        <v>25</v>
      </c>
      <c r="B28" s="6" t="n">
        <v>6281.43</v>
      </c>
      <c r="C28" s="6" t="n">
        <v>5156.2193248857</v>
      </c>
      <c r="D28" s="6" t="n">
        <v>1125.2106751143</v>
      </c>
      <c r="E28" s="6" t="n">
        <v>823869.8813065977</v>
      </c>
    </row>
    <row r="29">
      <c r="A29" t="n">
        <v>26</v>
      </c>
      <c r="B29" s="6" t="n">
        <v>6281.43</v>
      </c>
      <c r="C29" s="6" t="n">
        <v>5149.186758166235</v>
      </c>
      <c r="D29" s="6" t="n">
        <v>1132.243241833765</v>
      </c>
      <c r="E29" s="6" t="n">
        <v>822737.638064764</v>
      </c>
    </row>
    <row r="30">
      <c r="A30" t="n">
        <v>27</v>
      </c>
      <c r="B30" s="6" t="n">
        <v>6281.43</v>
      </c>
      <c r="C30" s="6" t="n">
        <v>5142.110237904774</v>
      </c>
      <c r="D30" s="6" t="n">
        <v>1139.319762095226</v>
      </c>
      <c r="E30" s="6" t="n">
        <v>821598.3183026687</v>
      </c>
    </row>
    <row r="31">
      <c r="A31" t="n">
        <v>28</v>
      </c>
      <c r="B31" s="6" t="n">
        <v>6281.43</v>
      </c>
      <c r="C31" s="6" t="n">
        <v>5134.989489391679</v>
      </c>
      <c r="D31" s="6" t="n">
        <v>1146.440510608321</v>
      </c>
      <c r="E31" s="6" t="n">
        <v>820451.8777920604</v>
      </c>
    </row>
    <row r="32">
      <c r="A32" t="n">
        <v>29</v>
      </c>
      <c r="B32" s="6" t="n">
        <v>6281.43</v>
      </c>
      <c r="C32" s="6" t="n">
        <v>5127.824236200377</v>
      </c>
      <c r="D32" s="6" t="n">
        <v>1153.605763799624</v>
      </c>
      <c r="E32" s="6" t="n">
        <v>819298.2720282607</v>
      </c>
    </row>
    <row r="33">
      <c r="A33" t="n">
        <v>30</v>
      </c>
      <c r="B33" s="6" t="n">
        <v>6281.43</v>
      </c>
      <c r="C33" s="6" t="n">
        <v>5120.614200176629</v>
      </c>
      <c r="D33" s="6" t="n">
        <v>1160.815799823371</v>
      </c>
      <c r="E33" s="6" t="n">
        <v>818137.4562284374</v>
      </c>
    </row>
    <row r="34">
      <c r="A34" t="n">
        <v>31</v>
      </c>
      <c r="B34" s="6" t="n">
        <v>6281.43</v>
      </c>
      <c r="C34" s="6" t="n">
        <v>5113.359101427734</v>
      </c>
      <c r="D34" s="6" t="n">
        <v>1168.070898572267</v>
      </c>
      <c r="E34" s="6" t="n">
        <v>816969.3853298652</v>
      </c>
    </row>
    <row r="35">
      <c r="A35" t="n">
        <v>32</v>
      </c>
      <c r="B35" s="6" t="n">
        <v>6281.43</v>
      </c>
      <c r="C35" s="6" t="n">
        <v>5106.058658311656</v>
      </c>
      <c r="D35" s="6" t="n">
        <v>1175.371341688344</v>
      </c>
      <c r="E35" s="6" t="n">
        <v>815794.0139881768</v>
      </c>
    </row>
    <row r="36">
      <c r="A36" t="n">
        <v>33</v>
      </c>
      <c r="B36" s="6" t="n">
        <v>6281.43</v>
      </c>
      <c r="C36" s="6" t="n">
        <v>5098.712587426105</v>
      </c>
      <c r="D36" s="6" t="n">
        <v>1182.717412573896</v>
      </c>
      <c r="E36" s="6" t="n">
        <v>814611.296575603</v>
      </c>
    </row>
    <row r="37">
      <c r="A37" t="n">
        <v>34</v>
      </c>
      <c r="B37" s="6" t="n">
        <v>6281.43</v>
      </c>
      <c r="C37" s="6" t="n">
        <v>5091.320603597518</v>
      </c>
      <c r="D37" s="6" t="n">
        <v>1190.109396402482</v>
      </c>
      <c r="E37" s="6" t="n">
        <v>813421.1871792005</v>
      </c>
    </row>
    <row r="38">
      <c r="A38" t="n">
        <v>35</v>
      </c>
      <c r="B38" s="6" t="n">
        <v>6281.43</v>
      </c>
      <c r="C38" s="6" t="n">
        <v>5083.882419870002</v>
      </c>
      <c r="D38" s="6" t="n">
        <v>1197.547580129998</v>
      </c>
      <c r="E38" s="6" t="n">
        <v>812223.6395990704</v>
      </c>
    </row>
    <row r="39">
      <c r="A39" t="n">
        <v>36</v>
      </c>
      <c r="B39" s="6" t="n">
        <v>6281.43</v>
      </c>
      <c r="C39" s="6" t="n">
        <v>5076.397747494189</v>
      </c>
      <c r="D39" s="6" t="n">
        <v>1205.032252505811</v>
      </c>
      <c r="E39" s="6" t="n">
        <v>811018.6073465646</v>
      </c>
    </row>
    <row r="40">
      <c r="A40" t="n">
        <v>37</v>
      </c>
      <c r="B40" s="6" t="n">
        <v>6281.43</v>
      </c>
      <c r="C40" s="6" t="n">
        <v>5068.866295916028</v>
      </c>
      <c r="D40" s="6" t="n">
        <v>1212.563704083972</v>
      </c>
      <c r="E40" s="6" t="n">
        <v>809806.0436424806</v>
      </c>
    </row>
    <row r="41">
      <c r="A41" t="n">
        <v>38</v>
      </c>
      <c r="B41" s="6" t="n">
        <v>6281.43</v>
      </c>
      <c r="C41" s="6" t="n">
        <v>5061.287772765503</v>
      </c>
      <c r="D41" s="6" t="n">
        <v>1220.142227234497</v>
      </c>
      <c r="E41" s="6" t="n">
        <v>808585.9014152461</v>
      </c>
    </row>
    <row r="42">
      <c r="A42" t="n">
        <v>39</v>
      </c>
      <c r="B42" s="6" t="n">
        <v>6281.43</v>
      </c>
      <c r="C42" s="6" t="n">
        <v>5053.661883845288</v>
      </c>
      <c r="D42" s="6" t="n">
        <v>1227.768116154713</v>
      </c>
      <c r="E42" s="6" t="n">
        <v>807358.1332990914</v>
      </c>
    </row>
    <row r="43">
      <c r="A43" t="n">
        <v>40</v>
      </c>
      <c r="B43" s="6" t="n">
        <v>6281.43</v>
      </c>
      <c r="C43" s="6" t="n">
        <v>5045.98833311932</v>
      </c>
      <c r="D43" s="6" t="n">
        <v>1235.44166688068</v>
      </c>
      <c r="E43" s="6" t="n">
        <v>806122.6916322107</v>
      </c>
    </row>
    <row r="44">
      <c r="A44" t="n">
        <v>41</v>
      </c>
      <c r="B44" s="6" t="n">
        <v>6281.43</v>
      </c>
      <c r="C44" s="6" t="n">
        <v>5038.266822701316</v>
      </c>
      <c r="D44" s="6" t="n">
        <v>1243.163177298684</v>
      </c>
      <c r="E44" s="6" t="n">
        <v>804879.528454912</v>
      </c>
    </row>
    <row r="45">
      <c r="A45" t="n">
        <v>42</v>
      </c>
      <c r="B45" s="6" t="n">
        <v>6281.43</v>
      </c>
      <c r="C45" s="6" t="n">
        <v>5030.4970528432</v>
      </c>
      <c r="D45" s="6" t="n">
        <v>1250.932947156801</v>
      </c>
      <c r="E45" s="6" t="n">
        <v>803628.5955077552</v>
      </c>
    </row>
    <row r="46">
      <c r="A46" t="n">
        <v>43</v>
      </c>
      <c r="B46" s="6" t="n">
        <v>6281.43</v>
      </c>
      <c r="C46" s="6" t="n">
        <v>5022.678721923469</v>
      </c>
      <c r="D46" s="6" t="n">
        <v>1258.751278076531</v>
      </c>
      <c r="E46" s="6" t="n">
        <v>802369.8442296786</v>
      </c>
    </row>
    <row r="47">
      <c r="A47" t="n">
        <v>44</v>
      </c>
      <c r="B47" s="6" t="n">
        <v>6281.43</v>
      </c>
      <c r="C47" s="6" t="n">
        <v>5014.811526435491</v>
      </c>
      <c r="D47" s="6" t="n">
        <v>1266.618473564509</v>
      </c>
      <c r="E47" s="6" t="n">
        <v>801103.2257561141</v>
      </c>
    </row>
    <row r="48">
      <c r="A48" t="n">
        <v>45</v>
      </c>
      <c r="B48" s="6" t="n">
        <v>6281.43</v>
      </c>
      <c r="C48" s="6" t="n">
        <v>5006.895160975713</v>
      </c>
      <c r="D48" s="6" t="n">
        <v>1274.534839024287</v>
      </c>
      <c r="E48" s="6" t="n">
        <v>799828.6909170898</v>
      </c>
    </row>
    <row r="49">
      <c r="A49" t="n">
        <v>46</v>
      </c>
      <c r="B49" s="6" t="n">
        <v>6281.43</v>
      </c>
      <c r="C49" s="6" t="n">
        <v>4998.929318231811</v>
      </c>
      <c r="D49" s="6" t="n">
        <v>1282.50068176819</v>
      </c>
      <c r="E49" s="6" t="n">
        <v>798546.1902353216</v>
      </c>
    </row>
    <row r="50">
      <c r="A50" t="n">
        <v>47</v>
      </c>
      <c r="B50" s="6" t="n">
        <v>6281.43</v>
      </c>
      <c r="C50" s="6" t="n">
        <v>4990.91368897076</v>
      </c>
      <c r="D50" s="6" t="n">
        <v>1290.516311029241</v>
      </c>
      <c r="E50" s="6" t="n">
        <v>797255.6739242924</v>
      </c>
    </row>
    <row r="51">
      <c r="A51" t="n">
        <v>48</v>
      </c>
      <c r="B51" s="6" t="n">
        <v>6281.43</v>
      </c>
      <c r="C51" s="6" t="n">
        <v>4982.847962026827</v>
      </c>
      <c r="D51" s="6" t="n">
        <v>1298.582037973173</v>
      </c>
      <c r="E51" s="6" t="n">
        <v>795957.0918863192</v>
      </c>
    </row>
    <row r="52">
      <c r="A52" t="n">
        <v>49</v>
      </c>
      <c r="B52" s="6" t="n">
        <v>6281.43</v>
      </c>
      <c r="C52" s="6" t="n">
        <v>4974.731824289494</v>
      </c>
      <c r="D52" s="6" t="n">
        <v>1306.698175710506</v>
      </c>
      <c r="E52" s="6" t="n">
        <v>794650.3937106087</v>
      </c>
    </row>
    <row r="53">
      <c r="A53" t="n">
        <v>50</v>
      </c>
      <c r="B53" s="6" t="n">
        <v>6281.43</v>
      </c>
      <c r="C53" s="6" t="n">
        <v>4966.564960691304</v>
      </c>
      <c r="D53" s="6" t="n">
        <v>1314.865039308696</v>
      </c>
      <c r="E53" s="6" t="n">
        <v>793335.5286713</v>
      </c>
    </row>
    <row r="54">
      <c r="A54" t="n">
        <v>51</v>
      </c>
      <c r="B54" s="6" t="n">
        <v>6281.43</v>
      </c>
      <c r="C54" s="6" t="n">
        <v>4958.347054195625</v>
      </c>
      <c r="D54" s="6" t="n">
        <v>1323.082945804375</v>
      </c>
      <c r="E54" s="6" t="n">
        <v>792012.4457254957</v>
      </c>
    </row>
    <row r="55">
      <c r="A55" t="n">
        <v>52</v>
      </c>
      <c r="B55" s="6" t="n">
        <v>6281.43</v>
      </c>
      <c r="C55" s="6" t="n">
        <v>4950.077785784348</v>
      </c>
      <c r="D55" s="6" t="n">
        <v>1331.352214215653</v>
      </c>
      <c r="E55" s="6" t="n">
        <v>790681.09351128</v>
      </c>
    </row>
    <row r="56">
      <c r="A56" t="n">
        <v>53</v>
      </c>
      <c r="B56" s="6" t="n">
        <v>6281.43</v>
      </c>
      <c r="C56" s="6" t="n">
        <v>4941.756834445499</v>
      </c>
      <c r="D56" s="6" t="n">
        <v>1339.673165554501</v>
      </c>
      <c r="E56" s="6" t="n">
        <v>789341.4203457255</v>
      </c>
    </row>
    <row r="57">
      <c r="A57" t="n">
        <v>54</v>
      </c>
      <c r="B57" s="6" t="n">
        <v>6281.43</v>
      </c>
      <c r="C57" s="6" t="n">
        <v>4933.383877160784</v>
      </c>
      <c r="D57" s="6" t="n">
        <v>1348.046122839216</v>
      </c>
      <c r="E57" s="6" t="n">
        <v>787993.3742228863</v>
      </c>
    </row>
    <row r="58">
      <c r="A58" t="n">
        <v>55</v>
      </c>
      <c r="B58" s="6" t="n">
        <v>6281.43</v>
      </c>
      <c r="C58" s="6" t="n">
        <v>4924.958588893039</v>
      </c>
      <c r="D58" s="6" t="n">
        <v>1356.471411106962</v>
      </c>
      <c r="E58" s="6" t="n">
        <v>786636.9028117793</v>
      </c>
    </row>
    <row r="59">
      <c r="A59" t="n">
        <v>56</v>
      </c>
      <c r="B59" s="6" t="n">
        <v>6281.43</v>
      </c>
      <c r="C59" s="6" t="n">
        <v>4916.480642573621</v>
      </c>
      <c r="D59" s="6" t="n">
        <v>1364.94935742638</v>
      </c>
      <c r="E59" s="6" t="n">
        <v>785271.9534543529</v>
      </c>
    </row>
    <row r="60">
      <c r="A60" t="n">
        <v>57</v>
      </c>
      <c r="B60" s="6" t="n">
        <v>6281.43</v>
      </c>
      <c r="C60" s="6" t="n">
        <v>4907.949709089706</v>
      </c>
      <c r="D60" s="6" t="n">
        <v>1373.480290910295</v>
      </c>
      <c r="E60" s="6" t="n">
        <v>783898.4731634426</v>
      </c>
    </row>
    <row r="61">
      <c r="A61" t="n">
        <v>58</v>
      </c>
      <c r="B61" s="6" t="n">
        <v>6281.43</v>
      </c>
      <c r="C61" s="6" t="n">
        <v>4899.365457271516</v>
      </c>
      <c r="D61" s="6" t="n">
        <v>1382.064542728484</v>
      </c>
      <c r="E61" s="6" t="n">
        <v>782516.4086207141</v>
      </c>
    </row>
    <row r="62">
      <c r="A62" t="n">
        <v>59</v>
      </c>
      <c r="B62" s="6" t="n">
        <v>6281.43</v>
      </c>
      <c r="C62" s="6" t="n">
        <v>4890.727553879463</v>
      </c>
      <c r="D62" s="6" t="n">
        <v>1390.702446120537</v>
      </c>
      <c r="E62" s="6" t="n">
        <v>781125.7061745935</v>
      </c>
    </row>
    <row r="63">
      <c r="A63" t="n">
        <v>60</v>
      </c>
      <c r="B63" s="6" t="n">
        <v>6281.43</v>
      </c>
      <c r="C63" s="6" t="n">
        <v>4882.035663591209</v>
      </c>
      <c r="D63" s="6" t="n">
        <v>1399.394336408791</v>
      </c>
      <c r="E63" s="6" t="n">
        <v>779726.3118381847</v>
      </c>
    </row>
    <row r="64">
      <c r="A64" t="n">
        <v>61</v>
      </c>
      <c r="B64" s="6" t="n">
        <v>6281.43</v>
      </c>
      <c r="C64" s="6" t="n">
        <v>4873.289448988654</v>
      </c>
      <c r="D64" s="6" t="n">
        <v>1408.140551011346</v>
      </c>
      <c r="E64" s="6" t="n">
        <v>778318.1712871734</v>
      </c>
    </row>
    <row r="65">
      <c r="A65" t="n">
        <v>62</v>
      </c>
      <c r="B65" s="6" t="n">
        <v>6281.43</v>
      </c>
      <c r="C65" s="6" t="n">
        <v>4864.488570544833</v>
      </c>
      <c r="D65" s="6" t="n">
        <v>1416.941429455167</v>
      </c>
      <c r="E65" s="6" t="n">
        <v>776901.2298577182</v>
      </c>
    </row>
    <row r="66">
      <c r="A66" t="n">
        <v>63</v>
      </c>
      <c r="B66" s="6" t="n">
        <v>6281.43</v>
      </c>
      <c r="C66" s="6" t="n">
        <v>4855.632686610738</v>
      </c>
      <c r="D66" s="6" t="n">
        <v>1425.797313389262</v>
      </c>
      <c r="E66" s="6" t="n">
        <v>775475.432544329</v>
      </c>
    </row>
    <row r="67">
      <c r="A67" t="n">
        <v>64</v>
      </c>
      <c r="B67" s="6" t="n">
        <v>6281.43</v>
      </c>
      <c r="C67" s="6" t="n">
        <v>4846.721453402056</v>
      </c>
      <c r="D67" s="6" t="n">
        <v>1434.708546597944</v>
      </c>
      <c r="E67" s="6" t="n">
        <v>774040.723997731</v>
      </c>
    </row>
    <row r="68">
      <c r="A68" t="n">
        <v>65</v>
      </c>
      <c r="B68" s="6" t="n">
        <v>6281.43</v>
      </c>
      <c r="C68" s="6" t="n">
        <v>4837.754524985819</v>
      </c>
      <c r="D68" s="6" t="n">
        <v>1443.675475014182</v>
      </c>
      <c r="E68" s="6" t="n">
        <v>772597.0485227169</v>
      </c>
    </row>
    <row r="69">
      <c r="A69" t="n">
        <v>66</v>
      </c>
      <c r="B69" s="6" t="n">
        <v>6281.43</v>
      </c>
      <c r="C69" s="6" t="n">
        <v>4828.73155326698</v>
      </c>
      <c r="D69" s="6" t="n">
        <v>1452.69844673302</v>
      </c>
      <c r="E69" s="6" t="n">
        <v>771144.3500759838</v>
      </c>
    </row>
    <row r="70">
      <c r="A70" t="n">
        <v>67</v>
      </c>
      <c r="B70" s="6" t="n">
        <v>6281.43</v>
      </c>
      <c r="C70" s="6" t="n">
        <v>4819.652187974898</v>
      </c>
      <c r="D70" s="6" t="n">
        <v>1461.777812025102</v>
      </c>
      <c r="E70" s="6" t="n">
        <v>769682.5722639586</v>
      </c>
    </row>
    <row r="71">
      <c r="A71" t="n">
        <v>68</v>
      </c>
      <c r="B71" s="6" t="n">
        <v>6281.43</v>
      </c>
      <c r="C71" s="6" t="n">
        <v>4810.516076649741</v>
      </c>
      <c r="D71" s="6" t="n">
        <v>1470.913923350259</v>
      </c>
      <c r="E71" s="6" t="n">
        <v>768211.6583406084</v>
      </c>
    </row>
    <row r="72">
      <c r="A72" t="n">
        <v>69</v>
      </c>
      <c r="B72" s="6" t="n">
        <v>6281.43</v>
      </c>
      <c r="C72" s="6" t="n">
        <v>4801.322864628802</v>
      </c>
      <c r="D72" s="6" t="n">
        <v>1480.107135371199</v>
      </c>
      <c r="E72" s="6" t="n">
        <v>766731.5512052372</v>
      </c>
    </row>
    <row r="73">
      <c r="A73" t="n">
        <v>70</v>
      </c>
      <c r="B73" s="6" t="n">
        <v>6281.43</v>
      </c>
      <c r="C73" s="6" t="n">
        <v>4792.072195032732</v>
      </c>
      <c r="D73" s="6" t="n">
        <v>1489.357804967269</v>
      </c>
      <c r="E73" s="6" t="n">
        <v>765242.1934002698</v>
      </c>
    </row>
    <row r="74">
      <c r="A74" t="n">
        <v>71</v>
      </c>
      <c r="B74" s="6" t="n">
        <v>6281.43</v>
      </c>
      <c r="C74" s="6" t="n">
        <v>4782.763708751686</v>
      </c>
      <c r="D74" s="6" t="n">
        <v>1498.666291248314</v>
      </c>
      <c r="E74" s="6" t="n">
        <v>763743.5271090216</v>
      </c>
    </row>
    <row r="75">
      <c r="A75" t="n">
        <v>72</v>
      </c>
      <c r="B75" s="6" t="n">
        <v>6281.43</v>
      </c>
      <c r="C75" s="6" t="n">
        <v>4773.397044431385</v>
      </c>
      <c r="D75" s="6" t="n">
        <v>1508.032955568616</v>
      </c>
      <c r="E75" s="6" t="n">
        <v>762235.4941534529</v>
      </c>
    </row>
    <row r="76">
      <c r="A76" t="n">
        <v>73</v>
      </c>
      <c r="B76" s="6" t="n">
        <v>6281.43</v>
      </c>
      <c r="C76" s="6" t="n">
        <v>4763.971838459081</v>
      </c>
      <c r="D76" s="6" t="n">
        <v>1517.45816154092</v>
      </c>
      <c r="E76" s="6" t="n">
        <v>760718.035991912</v>
      </c>
    </row>
    <row r="77">
      <c r="A77" t="n">
        <v>74</v>
      </c>
      <c r="B77" s="6" t="n">
        <v>6281.43</v>
      </c>
      <c r="C77" s="6" t="n">
        <v>4754.487724949449</v>
      </c>
      <c r="D77" s="6" t="n">
        <v>1526.942275050551</v>
      </c>
      <c r="E77" s="6" t="n">
        <v>759191.0937168614</v>
      </c>
    </row>
    <row r="78">
      <c r="A78" t="n">
        <v>75</v>
      </c>
      <c r="B78" s="6" t="n">
        <v>6281.43</v>
      </c>
      <c r="C78" s="6" t="n">
        <v>4744.944335730384</v>
      </c>
      <c r="D78" s="6" t="n">
        <v>1536.485664269617</v>
      </c>
      <c r="E78" s="6" t="n">
        <v>757654.6080525918</v>
      </c>
    </row>
    <row r="79">
      <c r="A79" t="n">
        <v>76</v>
      </c>
      <c r="B79" s="6" t="n">
        <v>6281.43</v>
      </c>
      <c r="C79" s="6" t="n">
        <v>4735.341300328699</v>
      </c>
      <c r="D79" s="6" t="n">
        <v>1546.088699671302</v>
      </c>
      <c r="E79" s="6" t="n">
        <v>756108.5193529205</v>
      </c>
    </row>
    <row r="80">
      <c r="A80" t="n">
        <v>77</v>
      </c>
      <c r="B80" s="6" t="n">
        <v>6281.43</v>
      </c>
      <c r="C80" s="6" t="n">
        <v>4725.678245955753</v>
      </c>
      <c r="D80" s="6" t="n">
        <v>1555.751754044248</v>
      </c>
      <c r="E80" s="6" t="n">
        <v>754552.7675988763</v>
      </c>
    </row>
    <row r="81">
      <c r="A81" t="n">
        <v>78</v>
      </c>
      <c r="B81" s="6" t="n">
        <v>6281.43</v>
      </c>
      <c r="C81" s="6" t="n">
        <v>4715.954797492976</v>
      </c>
      <c r="D81" s="6" t="n">
        <v>1565.475202507024</v>
      </c>
      <c r="E81" s="6" t="n">
        <v>752987.2923963693</v>
      </c>
    </row>
    <row r="82">
      <c r="A82" t="n">
        <v>79</v>
      </c>
      <c r="B82" s="6" t="n">
        <v>6281.43</v>
      </c>
      <c r="C82" s="6" t="n">
        <v>4706.170577477307</v>
      </c>
      <c r="D82" s="6" t="n">
        <v>1575.259422522693</v>
      </c>
      <c r="E82" s="6" t="n">
        <v>751412.0329738465</v>
      </c>
    </row>
    <row r="83">
      <c r="A83" t="n">
        <v>80</v>
      </c>
      <c r="B83" s="6" t="n">
        <v>6281.43</v>
      </c>
      <c r="C83" s="6" t="n">
        <v>4696.325206086541</v>
      </c>
      <c r="D83" s="6" t="n">
        <v>1585.10479391346</v>
      </c>
      <c r="E83" s="6" t="n">
        <v>749826.9281799331</v>
      </c>
    </row>
    <row r="84">
      <c r="A84" t="n">
        <v>81</v>
      </c>
      <c r="B84" s="6" t="n">
        <v>6281.43</v>
      </c>
      <c r="C84" s="6" t="n">
        <v>4686.418301124581</v>
      </c>
      <c r="D84" s="6" t="n">
        <v>1595.011698875419</v>
      </c>
      <c r="E84" s="6" t="n">
        <v>748231.9164810576</v>
      </c>
    </row>
    <row r="85">
      <c r="A85" t="n">
        <v>82</v>
      </c>
      <c r="B85" s="6" t="n">
        <v>6281.43</v>
      </c>
      <c r="C85" s="6" t="n">
        <v>4676.44947800661</v>
      </c>
      <c r="D85" s="6" t="n">
        <v>1604.980521993391</v>
      </c>
      <c r="E85" s="6" t="n">
        <v>746626.9359590643</v>
      </c>
    </row>
    <row r="86">
      <c r="A86" t="n">
        <v>83</v>
      </c>
      <c r="B86" s="6" t="n">
        <v>6281.43</v>
      </c>
      <c r="C86" s="6" t="n">
        <v>4666.418349744152</v>
      </c>
      <c r="D86" s="6" t="n">
        <v>1615.011650255849</v>
      </c>
      <c r="E86" s="6" t="n">
        <v>745011.9243088084</v>
      </c>
    </row>
    <row r="87">
      <c r="A87" t="n">
        <v>84</v>
      </c>
      <c r="B87" s="6" t="n">
        <v>6281.43</v>
      </c>
      <c r="C87" s="6" t="n">
        <v>4656.324526930052</v>
      </c>
      <c r="D87" s="6" t="n">
        <v>1625.105473069948</v>
      </c>
      <c r="E87" s="6" t="n">
        <v>743386.8188357385</v>
      </c>
    </row>
    <row r="88">
      <c r="A88" t="n">
        <v>85</v>
      </c>
      <c r="B88" s="6" t="n">
        <v>6281.43</v>
      </c>
      <c r="C88" s="6" t="n">
        <v>4646.167617723365</v>
      </c>
      <c r="D88" s="6" t="n">
        <v>1635.262382276635</v>
      </c>
      <c r="E88" s="6" t="n">
        <v>741751.5564534619</v>
      </c>
    </row>
    <row r="89">
      <c r="A89" t="n">
        <v>86</v>
      </c>
      <c r="B89" s="6" t="n">
        <v>6281.43</v>
      </c>
      <c r="C89" s="6" t="n">
        <v>4635.947227834136</v>
      </c>
      <c r="D89" s="6" t="n">
        <v>1645.482772165864</v>
      </c>
      <c r="E89" s="6" t="n">
        <v>740106.073681296</v>
      </c>
    </row>
    <row r="90">
      <c r="A90" t="n">
        <v>87</v>
      </c>
      <c r="B90" s="6" t="n">
        <v>6281.43</v>
      </c>
      <c r="C90" s="6" t="n">
        <v>4625.6629605081</v>
      </c>
      <c r="D90" s="6" t="n">
        <v>1655.767039491901</v>
      </c>
      <c r="E90" s="6" t="n">
        <v>738450.3066418041</v>
      </c>
    </row>
    <row r="91">
      <c r="A91" t="n">
        <v>88</v>
      </c>
      <c r="B91" s="6" t="n">
        <v>6281.43</v>
      </c>
      <c r="C91" s="6" t="n">
        <v>4615.314416511275</v>
      </c>
      <c r="D91" s="6" t="n">
        <v>1666.115583488725</v>
      </c>
      <c r="E91" s="6" t="n">
        <v>736784.1910583153</v>
      </c>
    </row>
    <row r="92">
      <c r="A92" t="n">
        <v>89</v>
      </c>
      <c r="B92" s="6" t="n">
        <v>6281.43</v>
      </c>
      <c r="C92" s="6" t="n">
        <v>4604.901194114471</v>
      </c>
      <c r="D92" s="6" t="n">
        <v>1676.528805885529</v>
      </c>
      <c r="E92" s="6" t="n">
        <v>735107.6622524298</v>
      </c>
    </row>
    <row r="93">
      <c r="A93" t="n">
        <v>90</v>
      </c>
      <c r="B93" s="6" t="n">
        <v>6281.43</v>
      </c>
      <c r="C93" s="6" t="n">
        <v>4594.422889077686</v>
      </c>
      <c r="D93" s="6" t="n">
        <v>1687.007110922314</v>
      </c>
      <c r="E93" s="6" t="n">
        <v>733420.6551415074</v>
      </c>
    </row>
    <row r="94">
      <c r="A94" t="n">
        <v>91</v>
      </c>
      <c r="B94" s="6" t="n">
        <v>6281.43</v>
      </c>
      <c r="C94" s="6" t="n">
        <v>4583.879094634421</v>
      </c>
      <c r="D94" s="6" t="n">
        <v>1697.55090536558</v>
      </c>
      <c r="E94" s="6" t="n">
        <v>731723.1042361418</v>
      </c>
    </row>
    <row r="95">
      <c r="A95" t="n">
        <v>92</v>
      </c>
      <c r="B95" s="6" t="n">
        <v>6281.43</v>
      </c>
      <c r="C95" s="6" t="n">
        <v>4573.269401475885</v>
      </c>
      <c r="D95" s="6" t="n">
        <v>1708.160598524115</v>
      </c>
      <c r="E95" s="6" t="n">
        <v>730014.9436376176</v>
      </c>
    </row>
    <row r="96">
      <c r="A96" t="n">
        <v>93</v>
      </c>
      <c r="B96" s="6" t="n">
        <v>6281.43</v>
      </c>
      <c r="C96" s="6" t="n">
        <v>4562.59339773511</v>
      </c>
      <c r="D96" s="6" t="n">
        <v>1718.836602264891</v>
      </c>
      <c r="E96" s="6" t="n">
        <v>728296.1070353527</v>
      </c>
    </row>
    <row r="97">
      <c r="A97" t="n">
        <v>94</v>
      </c>
      <c r="B97" s="6" t="n">
        <v>6281.43</v>
      </c>
      <c r="C97" s="6" t="n">
        <v>4551.850668970954</v>
      </c>
      <c r="D97" s="6" t="n">
        <v>1729.579331029046</v>
      </c>
      <c r="E97" s="6" t="n">
        <v>726566.5277043236</v>
      </c>
    </row>
    <row r="98">
      <c r="A98" t="n">
        <v>95</v>
      </c>
      <c r="B98" s="6" t="n">
        <v>6281.43</v>
      </c>
      <c r="C98" s="6" t="n">
        <v>4541.040798152022</v>
      </c>
      <c r="D98" s="6" t="n">
        <v>1740.389201847978</v>
      </c>
      <c r="E98" s="6" t="n">
        <v>724826.1385024757</v>
      </c>
    </row>
    <row r="99">
      <c r="A99" t="n">
        <v>96</v>
      </c>
      <c r="B99" s="6" t="n">
        <v>6281.43</v>
      </c>
      <c r="C99" s="6" t="n">
        <v>4530.163365640473</v>
      </c>
      <c r="D99" s="6" t="n">
        <v>1751.266634359527</v>
      </c>
      <c r="E99" s="6" t="n">
        <v>723074.8718681162</v>
      </c>
    </row>
    <row r="100">
      <c r="A100" t="n">
        <v>97</v>
      </c>
      <c r="B100" s="6" t="n">
        <v>6281.43</v>
      </c>
      <c r="C100" s="6" t="n">
        <v>4519.217949175726</v>
      </c>
      <c r="D100" s="6" t="n">
        <v>1762.212050824274</v>
      </c>
      <c r="E100" s="6" t="n">
        <v>721312.6598172919</v>
      </c>
    </row>
    <row r="101">
      <c r="A101" t="n">
        <v>98</v>
      </c>
      <c r="B101" s="6" t="n">
        <v>6281.43</v>
      </c>
      <c r="C101" s="6" t="n">
        <v>4508.204123858074</v>
      </c>
      <c r="D101" s="6" t="n">
        <v>1773.225876141926</v>
      </c>
      <c r="E101" s="6" t="n">
        <v>719539.43394115</v>
      </c>
    </row>
    <row r="102">
      <c r="A102" t="n">
        <v>99</v>
      </c>
      <c r="B102" s="6" t="n">
        <v>6281.43</v>
      </c>
      <c r="C102" s="6" t="n">
        <v>4497.121462132187</v>
      </c>
      <c r="D102" s="6" t="n">
        <v>1784.308537867813</v>
      </c>
      <c r="E102" s="6" t="n">
        <v>717755.1254032821</v>
      </c>
    </row>
    <row r="103">
      <c r="A103" t="n">
        <v>100</v>
      </c>
      <c r="B103" s="6" t="n">
        <v>6281.43</v>
      </c>
      <c r="C103" s="6" t="n">
        <v>4485.969533770512</v>
      </c>
      <c r="D103" s="6" t="n">
        <v>1795.460466229488</v>
      </c>
      <c r="E103" s="6" t="n">
        <v>715959.6649370526</v>
      </c>
    </row>
    <row r="104">
      <c r="A104" t="n">
        <v>101</v>
      </c>
      <c r="B104" s="6" t="n">
        <v>6281.43</v>
      </c>
      <c r="C104" s="6" t="n">
        <v>4474.747905856579</v>
      </c>
      <c r="D104" s="6" t="n">
        <v>1806.682094143422</v>
      </c>
      <c r="E104" s="6" t="n">
        <v>714152.9828429092</v>
      </c>
    </row>
    <row r="105">
      <c r="A105" t="n">
        <v>102</v>
      </c>
      <c r="B105" s="6" t="n">
        <v>6281.43</v>
      </c>
      <c r="C105" s="6" t="n">
        <v>4463.456142768182</v>
      </c>
      <c r="D105" s="6" t="n">
        <v>1817.973857231818</v>
      </c>
      <c r="E105" s="6" t="n">
        <v>712335.0089856774</v>
      </c>
    </row>
    <row r="106">
      <c r="A106" t="n">
        <v>103</v>
      </c>
      <c r="B106" s="6" t="n">
        <v>6281.43</v>
      </c>
      <c r="C106" s="6" t="n">
        <v>4452.093806160483</v>
      </c>
      <c r="D106" s="6" t="n">
        <v>1829.336193839517</v>
      </c>
      <c r="E106" s="6" t="n">
        <v>710505.6727918378</v>
      </c>
    </row>
    <row r="107">
      <c r="A107" t="n">
        <v>104</v>
      </c>
      <c r="B107" s="6" t="n">
        <v>6281.43</v>
      </c>
      <c r="C107" s="6" t="n">
        <v>4440.660454948986</v>
      </c>
      <c r="D107" s="6" t="n">
        <v>1840.769545051015</v>
      </c>
      <c r="E107" s="6" t="n">
        <v>708664.9032467868</v>
      </c>
    </row>
    <row r="108">
      <c r="A108" t="n">
        <v>105</v>
      </c>
      <c r="B108" s="6" t="n">
        <v>6281.43</v>
      </c>
      <c r="C108" s="6" t="n">
        <v>4429.155645292417</v>
      </c>
      <c r="D108" s="6" t="n">
        <v>1852.274354707583</v>
      </c>
      <c r="E108" s="6" t="n">
        <v>706812.6288920792</v>
      </c>
    </row>
    <row r="109">
      <c r="A109" t="n">
        <v>106</v>
      </c>
      <c r="B109" s="6" t="n">
        <v>6281.43</v>
      </c>
      <c r="C109" s="6" t="n">
        <v>4417.578930575495</v>
      </c>
      <c r="D109" s="6" t="n">
        <v>1863.851069424505</v>
      </c>
      <c r="E109" s="6" t="n">
        <v>704948.7778226547</v>
      </c>
    </row>
    <row r="110">
      <c r="A110" t="n">
        <v>107</v>
      </c>
      <c r="B110" s="6" t="n">
        <v>6281.43</v>
      </c>
      <c r="C110" s="6" t="n">
        <v>4405.929861391592</v>
      </c>
      <c r="D110" s="6" t="n">
        <v>1875.500138608409</v>
      </c>
      <c r="E110" s="6" t="n">
        <v>703073.2776840463</v>
      </c>
    </row>
    <row r="111">
      <c r="A111" t="n">
        <v>108</v>
      </c>
      <c r="B111" s="6" t="n">
        <v>6281.43</v>
      </c>
      <c r="C111" s="6" t="n">
        <v>4394.207985525289</v>
      </c>
      <c r="D111" s="6" t="n">
        <v>1887.222014474712</v>
      </c>
      <c r="E111" s="6" t="n">
        <v>701186.0556695716</v>
      </c>
    </row>
    <row r="112">
      <c r="A112" t="n">
        <v>109</v>
      </c>
      <c r="B112" s="6" t="n">
        <v>6281.43</v>
      </c>
      <c r="C112" s="6" t="n">
        <v>4382.412847934822</v>
      </c>
      <c r="D112" s="6" t="n">
        <v>1899.017152065178</v>
      </c>
      <c r="E112" s="6" t="n">
        <v>699287.0385175064</v>
      </c>
    </row>
    <row r="113">
      <c r="A113" t="n">
        <v>110</v>
      </c>
      <c r="B113" s="6" t="n">
        <v>6281.43</v>
      </c>
      <c r="C113" s="6" t="n">
        <v>4370.543990734415</v>
      </c>
      <c r="D113" s="6" t="n">
        <v>1910.886009265585</v>
      </c>
      <c r="E113" s="6" t="n">
        <v>697376.1525082409</v>
      </c>
    </row>
    <row r="114">
      <c r="A114" t="n">
        <v>111</v>
      </c>
      <c r="B114" s="6" t="n">
        <v>6281.43</v>
      </c>
      <c r="C114" s="6" t="n">
        <v>4358.600953176505</v>
      </c>
      <c r="D114" s="6" t="n">
        <v>1922.829046823495</v>
      </c>
      <c r="E114" s="6" t="n">
        <v>695453.3234614173</v>
      </c>
    </row>
    <row r="115">
      <c r="A115" t="n">
        <v>112</v>
      </c>
      <c r="B115" s="6" t="n">
        <v>6281.43</v>
      </c>
      <c r="C115" s="6" t="n">
        <v>4346.583271633858</v>
      </c>
      <c r="D115" s="6" t="n">
        <v>1934.846728366142</v>
      </c>
      <c r="E115" s="6" t="n">
        <v>693518.4767330512</v>
      </c>
    </row>
    <row r="116">
      <c r="A116" t="n">
        <v>113</v>
      </c>
      <c r="B116" s="6" t="n">
        <v>6281.43</v>
      </c>
      <c r="C116" s="6" t="n">
        <v>4334.49047958157</v>
      </c>
      <c r="D116" s="6" t="n">
        <v>1946.93952041843</v>
      </c>
      <c r="E116" s="6" t="n">
        <v>691571.5372126328</v>
      </c>
    </row>
    <row r="117">
      <c r="A117" t="n">
        <v>114</v>
      </c>
      <c r="B117" s="6" t="n">
        <v>6281.43</v>
      </c>
      <c r="C117" s="6" t="n">
        <v>4322.322107578955</v>
      </c>
      <c r="D117" s="6" t="n">
        <v>1959.107892421045</v>
      </c>
      <c r="E117" s="6" t="n">
        <v>689612.4293202118</v>
      </c>
    </row>
    <row r="118">
      <c r="A118" t="n">
        <v>115</v>
      </c>
      <c r="B118" s="6" t="n">
        <v>6281.43</v>
      </c>
      <c r="C118" s="6" t="n">
        <v>4310.077683251323</v>
      </c>
      <c r="D118" s="6" t="n">
        <v>1971.352316748677</v>
      </c>
      <c r="E118" s="6" t="n">
        <v>687641.0770034631</v>
      </c>
    </row>
    <row r="119">
      <c r="A119" t="n">
        <v>116</v>
      </c>
      <c r="B119" s="6" t="n">
        <v>6281.43</v>
      </c>
      <c r="C119" s="6" t="n">
        <v>4297.756731271644</v>
      </c>
      <c r="D119" s="6" t="n">
        <v>1983.673268728357</v>
      </c>
      <c r="E119" s="6" t="n">
        <v>685657.4037347347</v>
      </c>
    </row>
    <row r="120">
      <c r="A120" t="n">
        <v>117</v>
      </c>
      <c r="B120" s="6" t="n">
        <v>6281.43</v>
      </c>
      <c r="C120" s="6" t="n">
        <v>4285.358773342092</v>
      </c>
      <c r="D120" s="6" t="n">
        <v>1996.071226657908</v>
      </c>
      <c r="E120" s="6" t="n">
        <v>683661.3325080768</v>
      </c>
    </row>
    <row r="121">
      <c r="A121" t="n">
        <v>118</v>
      </c>
      <c r="B121" s="6" t="n">
        <v>6281.43</v>
      </c>
      <c r="C121" s="6" t="n">
        <v>4272.88332817548</v>
      </c>
      <c r="D121" s="6" t="n">
        <v>2008.546671824521</v>
      </c>
      <c r="E121" s="6" t="n">
        <v>681652.7858362523</v>
      </c>
    </row>
    <row r="122">
      <c r="A122" t="n">
        <v>119</v>
      </c>
      <c r="B122" s="6" t="n">
        <v>6281.43</v>
      </c>
      <c r="C122" s="6" t="n">
        <v>4260.329911476576</v>
      </c>
      <c r="D122" s="6" t="n">
        <v>2021.100088523424</v>
      </c>
      <c r="E122" s="6" t="n">
        <v>679631.6857477288</v>
      </c>
    </row>
    <row r="123">
      <c r="A123" t="n">
        <v>120</v>
      </c>
      <c r="B123" s="6" t="n">
        <v>6281.43</v>
      </c>
      <c r="C123" s="6" t="n">
        <v>4247.698035923305</v>
      </c>
      <c r="D123" s="6" t="n">
        <v>2033.731964076695</v>
      </c>
      <c r="E123" s="6" t="n">
        <v>677597.953783652</v>
      </c>
    </row>
    <row r="124">
      <c r="A124" t="n">
        <v>121</v>
      </c>
      <c r="B124" s="6" t="n">
        <v>6281.43</v>
      </c>
      <c r="C124" s="6" t="n">
        <v>4234.987211147825</v>
      </c>
      <c r="D124" s="6" t="n">
        <v>2046.442788852175</v>
      </c>
      <c r="E124" s="6" t="n">
        <v>675551.5109947999</v>
      </c>
    </row>
    <row r="125">
      <c r="A125" t="n">
        <v>122</v>
      </c>
      <c r="B125" s="6" t="n">
        <v>6281.43</v>
      </c>
      <c r="C125" s="6" t="n">
        <v>4222.196943717499</v>
      </c>
      <c r="D125" s="6" t="n">
        <v>2059.233056282501</v>
      </c>
      <c r="E125" s="6" t="n">
        <v>673492.2779385174</v>
      </c>
    </row>
    <row r="126">
      <c r="A126" t="n">
        <v>123</v>
      </c>
      <c r="B126" s="6" t="n">
        <v>6281.43</v>
      </c>
      <c r="C126" s="6" t="n">
        <v>4209.326737115734</v>
      </c>
      <c r="D126" s="6" t="n">
        <v>2072.103262884267</v>
      </c>
      <c r="E126" s="6" t="n">
        <v>671420.1746756331</v>
      </c>
    </row>
    <row r="127">
      <c r="A127" t="n">
        <v>124</v>
      </c>
      <c r="B127" s="6" t="n">
        <v>6281.43</v>
      </c>
      <c r="C127" s="6" t="n">
        <v>4196.376091722706</v>
      </c>
      <c r="D127" s="6" t="n">
        <v>2085.053908277294</v>
      </c>
      <c r="E127" s="6" t="n">
        <v>669335.1207673558</v>
      </c>
    </row>
    <row r="128">
      <c r="A128" t="n">
        <v>125</v>
      </c>
      <c r="B128" s="6" t="n">
        <v>6281.43</v>
      </c>
      <c r="C128" s="6" t="n">
        <v>4183.344504795973</v>
      </c>
      <c r="D128" s="6" t="n">
        <v>2098.085495204027</v>
      </c>
      <c r="E128" s="6" t="n">
        <v>667237.0352721517</v>
      </c>
    </row>
    <row r="129">
      <c r="A129" t="n">
        <v>126</v>
      </c>
      <c r="B129" s="6" t="n">
        <v>6281.43</v>
      </c>
      <c r="C129" s="6" t="n">
        <v>4170.231470450948</v>
      </c>
      <c r="D129" s="6" t="n">
        <v>2111.198529549052</v>
      </c>
      <c r="E129" s="6" t="n">
        <v>665125.8367426026</v>
      </c>
    </row>
    <row r="130">
      <c r="A130" t="n">
        <v>127</v>
      </c>
      <c r="B130" s="6" t="n">
        <v>6281.43</v>
      </c>
      <c r="C130" s="6" t="n">
        <v>4157.036479641266</v>
      </c>
      <c r="D130" s="6" t="n">
        <v>2124.393520358734</v>
      </c>
      <c r="E130" s="6" t="n">
        <v>663001.4432222439</v>
      </c>
    </row>
    <row r="131">
      <c r="A131" t="n">
        <v>128</v>
      </c>
      <c r="B131" s="6" t="n">
        <v>6281.43</v>
      </c>
      <c r="C131" s="6" t="n">
        <v>4143.759020139024</v>
      </c>
      <c r="D131" s="6" t="n">
        <v>2137.670979860976</v>
      </c>
      <c r="E131" s="6" t="n">
        <v>660863.772242383</v>
      </c>
    </row>
    <row r="132">
      <c r="A132" t="n">
        <v>129</v>
      </c>
      <c r="B132" s="6" t="n">
        <v>6281.43</v>
      </c>
      <c r="C132" s="6" t="n">
        <v>4130.398576514894</v>
      </c>
      <c r="D132" s="6" t="n">
        <v>2151.031423485107</v>
      </c>
      <c r="E132" s="6" t="n">
        <v>658712.7408188978</v>
      </c>
    </row>
    <row r="133">
      <c r="A133" t="n">
        <v>130</v>
      </c>
      <c r="B133" s="6" t="n">
        <v>6281.43</v>
      </c>
      <c r="C133" s="6" t="n">
        <v>4116.954630118111</v>
      </c>
      <c r="D133" s="6" t="n">
        <v>2164.475369881889</v>
      </c>
      <c r="E133" s="6" t="n">
        <v>656548.265449016</v>
      </c>
    </row>
    <row r="134">
      <c r="A134" t="n">
        <v>131</v>
      </c>
      <c r="B134" s="6" t="n">
        <v>6281.43</v>
      </c>
      <c r="C134" s="6" t="n">
        <v>4103.426659056349</v>
      </c>
      <c r="D134" s="6" t="n">
        <v>2178.003340943651</v>
      </c>
      <c r="E134" s="6" t="n">
        <v>654370.2621080724</v>
      </c>
    </row>
    <row r="135">
      <c r="A135" t="n">
        <v>132</v>
      </c>
      <c r="B135" s="6" t="n">
        <v>6281.43</v>
      </c>
      <c r="C135" s="6" t="n">
        <v>4089.814138175452</v>
      </c>
      <c r="D135" s="6" t="n">
        <v>2191.615861824548</v>
      </c>
      <c r="E135" s="6" t="n">
        <v>652178.6462462478</v>
      </c>
    </row>
    <row r="136">
      <c r="A136" t="n">
        <v>133</v>
      </c>
      <c r="B136" s="6" t="n">
        <v>6281.43</v>
      </c>
      <c r="C136" s="6" t="n">
        <v>4076.116539039048</v>
      </c>
      <c r="D136" s="6" t="n">
        <v>2205.313460960952</v>
      </c>
      <c r="E136" s="6" t="n">
        <v>649973.3327852868</v>
      </c>
    </row>
    <row r="137">
      <c r="A137" t="n">
        <v>134</v>
      </c>
      <c r="B137" s="6" t="n">
        <v>6281.43</v>
      </c>
      <c r="C137" s="6" t="n">
        <v>4062.333329908042</v>
      </c>
      <c r="D137" s="6" t="n">
        <v>2219.096670091958</v>
      </c>
      <c r="E137" s="6" t="n">
        <v>647754.2361151949</v>
      </c>
    </row>
    <row r="138">
      <c r="A138" t="n">
        <v>135</v>
      </c>
      <c r="B138" s="6" t="n">
        <v>6281.43</v>
      </c>
      <c r="C138" s="6" t="n">
        <v>4048.463975719967</v>
      </c>
      <c r="D138" s="6" t="n">
        <v>2232.966024280033</v>
      </c>
      <c r="E138" s="6" t="n">
        <v>645521.2700909148</v>
      </c>
    </row>
    <row r="139">
      <c r="A139" t="n">
        <v>136</v>
      </c>
      <c r="B139" s="6" t="n">
        <v>6281.43</v>
      </c>
      <c r="C139" s="6" t="n">
        <v>4034.507938068217</v>
      </c>
      <c r="D139" s="6" t="n">
        <v>2246.922061931783</v>
      </c>
      <c r="E139" s="6" t="n">
        <v>643274.348028983</v>
      </c>
    </row>
    <row r="140">
      <c r="A140" t="n">
        <v>137</v>
      </c>
      <c r="B140" s="6" t="n">
        <v>6281.43</v>
      </c>
      <c r="C140" s="6" t="n">
        <v>4020.464675181143</v>
      </c>
      <c r="D140" s="6" t="n">
        <v>2260.965324818857</v>
      </c>
      <c r="E140" s="6" t="n">
        <v>641013.3827041641</v>
      </c>
    </row>
    <row r="141">
      <c r="A141" t="n">
        <v>138</v>
      </c>
      <c r="B141" s="6" t="n">
        <v>6281.43</v>
      </c>
      <c r="C141" s="6" t="n">
        <v>4006.333641901026</v>
      </c>
      <c r="D141" s="6" t="n">
        <v>2275.096358098975</v>
      </c>
      <c r="E141" s="6" t="n">
        <v>638738.2863460651</v>
      </c>
    </row>
    <row r="142">
      <c r="A142" t="n">
        <v>139</v>
      </c>
      <c r="B142" s="6" t="n">
        <v>6281.43</v>
      </c>
      <c r="C142" s="6" t="n">
        <v>3992.114289662907</v>
      </c>
      <c r="D142" s="6" t="n">
        <v>2289.315710337094</v>
      </c>
      <c r="E142" s="6" t="n">
        <v>636448.970635728</v>
      </c>
    </row>
    <row r="143">
      <c r="A143" t="n">
        <v>140</v>
      </c>
      <c r="B143" s="6" t="n">
        <v>6281.43</v>
      </c>
      <c r="C143" s="6" t="n">
        <v>3977.806066473299</v>
      </c>
      <c r="D143" s="6" t="n">
        <v>2303.623933526701</v>
      </c>
      <c r="E143" s="6" t="n">
        <v>634145.3467022013</v>
      </c>
    </row>
    <row r="144">
      <c r="A144" t="n">
        <v>141</v>
      </c>
      <c r="B144" s="6" t="n">
        <v>6281.43</v>
      </c>
      <c r="C144" s="6" t="n">
        <v>3963.408416888758</v>
      </c>
      <c r="D144" s="6" t="n">
        <v>2318.021583111243</v>
      </c>
      <c r="E144" s="6" t="n">
        <v>631827.32511909</v>
      </c>
    </row>
    <row r="145">
      <c r="A145" t="n">
        <v>142</v>
      </c>
      <c r="B145" s="6" t="n">
        <v>6281.43</v>
      </c>
      <c r="C145" s="6" t="n">
        <v>3948.920781994312</v>
      </c>
      <c r="D145" s="6" t="n">
        <v>2332.509218005688</v>
      </c>
      <c r="E145" s="6" t="n">
        <v>629494.8159010843</v>
      </c>
    </row>
    <row r="146">
      <c r="A146" t="n">
        <v>143</v>
      </c>
      <c r="B146" s="6" t="n">
        <v>6281.43</v>
      </c>
      <c r="C146" s="6" t="n">
        <v>3934.342599381777</v>
      </c>
      <c r="D146" s="6" t="n">
        <v>2347.087400618223</v>
      </c>
      <c r="E146" s="6" t="n">
        <v>627147.7285004661</v>
      </c>
    </row>
    <row r="147">
      <c r="A147" t="n">
        <v>144</v>
      </c>
      <c r="B147" s="6" t="n">
        <v>6281.43</v>
      </c>
      <c r="C147" s="6" t="n">
        <v>3919.673303127913</v>
      </c>
      <c r="D147" s="6" t="n">
        <v>2361.756696872088</v>
      </c>
      <c r="E147" s="6" t="n">
        <v>624785.971803594</v>
      </c>
    </row>
    <row r="148">
      <c r="A148" t="n">
        <v>145</v>
      </c>
      <c r="B148" s="6" t="n">
        <v>6281.43</v>
      </c>
      <c r="C148" s="6" t="n">
        <v>3904.912323772463</v>
      </c>
      <c r="D148" s="6" t="n">
        <v>2376.517676227538</v>
      </c>
      <c r="E148" s="6" t="n">
        <v>622409.4541273665</v>
      </c>
    </row>
    <row r="149">
      <c r="A149" t="n">
        <v>146</v>
      </c>
      <c r="B149" s="6" t="n">
        <v>6281.43</v>
      </c>
      <c r="C149" s="6" t="n">
        <v>3890.05908829604</v>
      </c>
      <c r="D149" s="6" t="n">
        <v>2391.37091170396</v>
      </c>
      <c r="E149" s="6" t="n">
        <v>620018.0832156626</v>
      </c>
    </row>
    <row r="150">
      <c r="A150" t="n">
        <v>147</v>
      </c>
      <c r="B150" s="6" t="n">
        <v>6281.43</v>
      </c>
      <c r="C150" s="6" t="n">
        <v>3875.113020097891</v>
      </c>
      <c r="D150" s="6" t="n">
        <v>2406.316979902109</v>
      </c>
      <c r="E150" s="6" t="n">
        <v>617611.7662357605</v>
      </c>
    </row>
    <row r="151">
      <c r="A151" t="n">
        <v>148</v>
      </c>
      <c r="B151" s="6" t="n">
        <v>6281.43</v>
      </c>
      <c r="C151" s="6" t="n">
        <v>3860.073538973503</v>
      </c>
      <c r="D151" s="6" t="n">
        <v>2421.356461026498</v>
      </c>
      <c r="E151" s="6" t="n">
        <v>615190.4097747341</v>
      </c>
    </row>
    <row r="152">
      <c r="A152" t="n">
        <v>149</v>
      </c>
      <c r="B152" s="6" t="n">
        <v>6281.43</v>
      </c>
      <c r="C152" s="6" t="n">
        <v>3844.940061092087</v>
      </c>
      <c r="D152" s="6" t="n">
        <v>2436.489938907913</v>
      </c>
      <c r="E152" s="6" t="n">
        <v>612753.9198358261</v>
      </c>
    </row>
    <row r="153">
      <c r="A153" t="n">
        <v>150</v>
      </c>
      <c r="B153" s="6" t="n">
        <v>6281.43</v>
      </c>
      <c r="C153" s="6" t="n">
        <v>3829.711998973913</v>
      </c>
      <c r="D153" s="6" t="n">
        <v>2451.718001026087</v>
      </c>
      <c r="E153" s="6" t="n">
        <v>610302.2018348001</v>
      </c>
    </row>
    <row r="154">
      <c r="A154" t="n">
        <v>151</v>
      </c>
      <c r="B154" s="6" t="n">
        <v>6281.43</v>
      </c>
      <c r="C154" s="6" t="n">
        <v>3814.3887614675</v>
      </c>
      <c r="D154" s="6" t="n">
        <v>2467.0412385325</v>
      </c>
      <c r="E154" s="6" t="n">
        <v>607835.1605962676</v>
      </c>
    </row>
    <row r="155">
      <c r="A155" t="n">
        <v>152</v>
      </c>
      <c r="B155" s="6" t="n">
        <v>6281.43</v>
      </c>
      <c r="C155" s="6" t="n">
        <v>3798.969753726672</v>
      </c>
      <c r="D155" s="6" t="n">
        <v>2482.460246273328</v>
      </c>
      <c r="E155" s="6" t="n">
        <v>605352.7003499942</v>
      </c>
    </row>
    <row r="156">
      <c r="A156" t="n">
        <v>153</v>
      </c>
      <c r="B156" s="6" t="n">
        <v>6281.43</v>
      </c>
      <c r="C156" s="6" t="n">
        <v>3783.454377187464</v>
      </c>
      <c r="D156" s="6" t="n">
        <v>2497.975622812537</v>
      </c>
      <c r="E156" s="6" t="n">
        <v>602854.7247271817</v>
      </c>
    </row>
    <row r="157">
      <c r="A157" t="n">
        <v>154</v>
      </c>
      <c r="B157" s="6" t="n">
        <v>6281.43</v>
      </c>
      <c r="C157" s="6" t="n">
        <v>3767.842029544885</v>
      </c>
      <c r="D157" s="6" t="n">
        <v>2513.587970455115</v>
      </c>
      <c r="E157" s="6" t="n">
        <v>600341.1367567267</v>
      </c>
    </row>
    <row r="158">
      <c r="A158" t="n">
        <v>155</v>
      </c>
      <c r="B158" s="6" t="n">
        <v>6281.43</v>
      </c>
      <c r="C158" s="6" t="n">
        <v>3752.132104729541</v>
      </c>
      <c r="D158" s="6" t="n">
        <v>2529.297895270459</v>
      </c>
      <c r="E158" s="6" t="n">
        <v>597811.8388614561</v>
      </c>
    </row>
    <row r="159">
      <c r="A159" t="n">
        <v>156</v>
      </c>
      <c r="B159" s="6" t="n">
        <v>6281.43</v>
      </c>
      <c r="C159" s="6" t="n">
        <v>3736.323992884101</v>
      </c>
      <c r="D159" s="6" t="n">
        <v>2545.1060071159</v>
      </c>
      <c r="E159" s="6" t="n">
        <v>595266.7328543402</v>
      </c>
    </row>
    <row r="160">
      <c r="A160" t="n">
        <v>157</v>
      </c>
      <c r="B160" s="6" t="n">
        <v>6281.43</v>
      </c>
      <c r="C160" s="6" t="n">
        <v>3720.417080339626</v>
      </c>
      <c r="D160" s="6" t="n">
        <v>2561.012919660374</v>
      </c>
      <c r="E160" s="6" t="n">
        <v>592705.7199346798</v>
      </c>
    </row>
    <row r="161">
      <c r="A161" t="n">
        <v>158</v>
      </c>
      <c r="B161" s="6" t="n">
        <v>6281.43</v>
      </c>
      <c r="C161" s="6" t="n">
        <v>3704.410749591748</v>
      </c>
      <c r="D161" s="6" t="n">
        <v>2577.019250408252</v>
      </c>
      <c r="E161" s="6" t="n">
        <v>590128.7006842715</v>
      </c>
    </row>
    <row r="162">
      <c r="A162" t="n">
        <v>159</v>
      </c>
      <c r="B162" s="6" t="n">
        <v>6281.43</v>
      </c>
      <c r="C162" s="6" t="n">
        <v>3688.304379276697</v>
      </c>
      <c r="D162" s="6" t="n">
        <v>2593.125620723304</v>
      </c>
      <c r="E162" s="6" t="n">
        <v>587535.5750635482</v>
      </c>
    </row>
    <row r="163">
      <c r="A163" t="n">
        <v>160</v>
      </c>
      <c r="B163" s="6" t="n">
        <v>6281.43</v>
      </c>
      <c r="C163" s="6" t="n">
        <v>3672.097344147176</v>
      </c>
      <c r="D163" s="6" t="n">
        <v>2609.332655852825</v>
      </c>
      <c r="E163" s="6" t="n">
        <v>584926.2424076954</v>
      </c>
    </row>
    <row r="164">
      <c r="A164" t="n">
        <v>161</v>
      </c>
      <c r="B164" s="6" t="n">
        <v>6281.43</v>
      </c>
      <c r="C164" s="6" t="n">
        <v>3655.789015048096</v>
      </c>
      <c r="D164" s="6" t="n">
        <v>2625.640984951905</v>
      </c>
      <c r="E164" s="6" t="n">
        <v>582300.6014227435</v>
      </c>
    </row>
    <row r="165">
      <c r="A165" t="n">
        <v>162</v>
      </c>
      <c r="B165" s="6" t="n">
        <v>6281.43</v>
      </c>
      <c r="C165" s="6" t="n">
        <v>3639.378758892147</v>
      </c>
      <c r="D165" s="6" t="n">
        <v>2642.051241107853</v>
      </c>
      <c r="E165" s="6" t="n">
        <v>579658.5501816357</v>
      </c>
    </row>
    <row r="166">
      <c r="A166" t="n">
        <v>163</v>
      </c>
      <c r="B166" s="6" t="n">
        <v>6281.43</v>
      </c>
      <c r="C166" s="6" t="n">
        <v>3622.865938635222</v>
      </c>
      <c r="D166" s="6" t="n">
        <v>2658.564061364778</v>
      </c>
      <c r="E166" s="6" t="n">
        <v>576999.9861202709</v>
      </c>
    </row>
    <row r="167">
      <c r="A167" t="n">
        <v>164</v>
      </c>
      <c r="B167" s="6" t="n">
        <v>6281.43</v>
      </c>
      <c r="C167" s="6" t="n">
        <v>3606.249913251693</v>
      </c>
      <c r="D167" s="6" t="n">
        <v>2675.180086748308</v>
      </c>
      <c r="E167" s="6" t="n">
        <v>574324.8060335226</v>
      </c>
    </row>
    <row r="168">
      <c r="A168" t="n">
        <v>165</v>
      </c>
      <c r="B168" s="6" t="n">
        <v>6281.43</v>
      </c>
      <c r="C168" s="6" t="n">
        <v>3589.530037709516</v>
      </c>
      <c r="D168" s="6" t="n">
        <v>2691.899962290484</v>
      </c>
      <c r="E168" s="6" t="n">
        <v>571632.906071232</v>
      </c>
    </row>
    <row r="169">
      <c r="A169" t="n">
        <v>166</v>
      </c>
      <c r="B169" s="6" t="n">
        <v>6281.43</v>
      </c>
      <c r="C169" s="6" t="n">
        <v>3572.7056629452</v>
      </c>
      <c r="D169" s="6" t="n">
        <v>2708.7243370548</v>
      </c>
      <c r="E169" s="6" t="n">
        <v>568924.1817341773</v>
      </c>
    </row>
    <row r="170">
      <c r="A170" t="n">
        <v>167</v>
      </c>
      <c r="B170" s="6" t="n">
        <v>6281.43</v>
      </c>
      <c r="C170" s="6" t="n">
        <v>3555.776135838608</v>
      </c>
      <c r="D170" s="6" t="n">
        <v>2725.653864161392</v>
      </c>
      <c r="E170" s="6" t="n">
        <v>566198.5278700159</v>
      </c>
    </row>
    <row r="171">
      <c r="A171" t="n">
        <v>168</v>
      </c>
      <c r="B171" s="6" t="n">
        <v>6281.43</v>
      </c>
      <c r="C171" s="6" t="n">
        <v>3538.740799187599</v>
      </c>
      <c r="D171" s="6" t="n">
        <v>2742.689200812401</v>
      </c>
      <c r="E171" s="6" t="n">
        <v>563455.8386692036</v>
      </c>
    </row>
    <row r="172">
      <c r="A172" t="n">
        <v>169</v>
      </c>
      <c r="B172" s="6" t="n">
        <v>6281.43</v>
      </c>
      <c r="C172" s="6" t="n">
        <v>3521.598991682522</v>
      </c>
      <c r="D172" s="6" t="n">
        <v>2759.831008317478</v>
      </c>
      <c r="E172" s="6" t="n">
        <v>560696.007660886</v>
      </c>
    </row>
    <row r="173">
      <c r="A173" t="n">
        <v>170</v>
      </c>
      <c r="B173" s="6" t="n">
        <v>6281.43</v>
      </c>
      <c r="C173" s="6" t="n">
        <v>3504.350047880538</v>
      </c>
      <c r="D173" s="6" t="n">
        <v>2777.079952119463</v>
      </c>
      <c r="E173" s="6" t="n">
        <v>557918.9277087665</v>
      </c>
    </row>
    <row r="174">
      <c r="A174" t="n">
        <v>171</v>
      </c>
      <c r="B174" s="6" t="n">
        <v>6281.43</v>
      </c>
      <c r="C174" s="6" t="n">
        <v>3486.993298179791</v>
      </c>
      <c r="D174" s="6" t="n">
        <v>2794.43670182021</v>
      </c>
      <c r="E174" s="6" t="n">
        <v>555124.4910069463</v>
      </c>
    </row>
    <row r="175">
      <c r="A175" t="n">
        <v>172</v>
      </c>
      <c r="B175" s="6" t="n">
        <v>6281.43</v>
      </c>
      <c r="C175" s="6" t="n">
        <v>3469.528068793414</v>
      </c>
      <c r="D175" s="6" t="n">
        <v>2811.901931206586</v>
      </c>
      <c r="E175" s="6" t="n">
        <v>552312.5890757397</v>
      </c>
    </row>
    <row r="176">
      <c r="A176" t="n">
        <v>173</v>
      </c>
      <c r="B176" s="6" t="n">
        <v>6281.43</v>
      </c>
      <c r="C176" s="6" t="n">
        <v>3451.953681723373</v>
      </c>
      <c r="D176" s="6" t="n">
        <v>2829.476318276627</v>
      </c>
      <c r="E176" s="6" t="n">
        <v>549483.1127574631</v>
      </c>
    </row>
    <row r="177">
      <c r="A177" t="n">
        <v>174</v>
      </c>
      <c r="B177" s="6" t="n">
        <v>6281.43</v>
      </c>
      <c r="C177" s="6" t="n">
        <v>3434.269454734144</v>
      </c>
      <c r="D177" s="6" t="n">
        <v>2847.160545265856</v>
      </c>
      <c r="E177" s="6" t="n">
        <v>546635.9522121972</v>
      </c>
    </row>
    <row r="178">
      <c r="A178" t="n">
        <v>175</v>
      </c>
      <c r="B178" s="6" t="n">
        <v>6281.43</v>
      </c>
      <c r="C178" s="6" t="n">
        <v>3416.474701326233</v>
      </c>
      <c r="D178" s="6" t="n">
        <v>2864.955298673768</v>
      </c>
      <c r="E178" s="6" t="n">
        <v>543770.9969135235</v>
      </c>
    </row>
    <row r="179">
      <c r="A179" t="n">
        <v>176</v>
      </c>
      <c r="B179" s="6" t="n">
        <v>6281.43</v>
      </c>
      <c r="C179" s="6" t="n">
        <v>3398.568730709522</v>
      </c>
      <c r="D179" s="6" t="n">
        <v>2882.861269290479</v>
      </c>
      <c r="E179" s="6" t="n">
        <v>540888.1356442331</v>
      </c>
    </row>
    <row r="180">
      <c r="A180" t="n">
        <v>177</v>
      </c>
      <c r="B180" s="6" t="n">
        <v>6281.43</v>
      </c>
      <c r="C180" s="6" t="n">
        <v>3380.550847776457</v>
      </c>
      <c r="D180" s="6" t="n">
        <v>2900.879152223544</v>
      </c>
      <c r="E180" s="6" t="n">
        <v>537987.2564920095</v>
      </c>
    </row>
    <row r="181">
      <c r="A181" t="n">
        <v>178</v>
      </c>
      <c r="B181" s="6" t="n">
        <v>6281.43</v>
      </c>
      <c r="C181" s="6" t="n">
        <v>3362.420353075059</v>
      </c>
      <c r="D181" s="6" t="n">
        <v>2919.009646924941</v>
      </c>
      <c r="E181" s="6" t="n">
        <v>535068.2468450846</v>
      </c>
    </row>
    <row r="182">
      <c r="A182" t="n">
        <v>179</v>
      </c>
      <c r="B182" s="6" t="n">
        <v>6281.43</v>
      </c>
      <c r="C182" s="6" t="n">
        <v>3344.176542781779</v>
      </c>
      <c r="D182" s="6" t="n">
        <v>2937.253457218222</v>
      </c>
      <c r="E182" s="6" t="n">
        <v>532130.9933878664</v>
      </c>
    </row>
    <row r="183">
      <c r="A183" t="n">
        <v>180</v>
      </c>
      <c r="B183" s="6" t="n">
        <v>6281.43</v>
      </c>
      <c r="C183" s="6" t="n">
        <v>3325.818708674165</v>
      </c>
      <c r="D183" s="6" t="n">
        <v>2955.611291325835</v>
      </c>
      <c r="E183" s="6" t="n">
        <v>529175.3820965405</v>
      </c>
    </row>
    <row r="184">
      <c r="A184" t="n">
        <v>181</v>
      </c>
      <c r="B184" s="6" t="n">
        <v>6281.43</v>
      </c>
      <c r="C184" s="6" t="n">
        <v>3307.346138103378</v>
      </c>
      <c r="D184" s="6" t="n">
        <v>2974.083861896622</v>
      </c>
      <c r="E184" s="6" t="n">
        <v>526201.2982346439</v>
      </c>
    </row>
    <row r="185">
      <c r="A185" t="n">
        <v>182</v>
      </c>
      <c r="B185" s="6" t="n">
        <v>6281.43</v>
      </c>
      <c r="C185" s="6" t="n">
        <v>3288.758113966524</v>
      </c>
      <c r="D185" s="6" t="n">
        <v>2992.671886033476</v>
      </c>
      <c r="E185" s="6" t="n">
        <v>523208.6263486104</v>
      </c>
    </row>
    <row r="186">
      <c r="A186" t="n">
        <v>183</v>
      </c>
      <c r="B186" s="6" t="n">
        <v>6281.43</v>
      </c>
      <c r="C186" s="6" t="n">
        <v>3270.053914678815</v>
      </c>
      <c r="D186" s="6" t="n">
        <v>3011.376085321186</v>
      </c>
      <c r="E186" s="6" t="n">
        <v>520197.2502632892</v>
      </c>
    </row>
    <row r="187">
      <c r="A187" t="n">
        <v>184</v>
      </c>
      <c r="B187" s="6" t="n">
        <v>6281.43</v>
      </c>
      <c r="C187" s="6" t="n">
        <v>3251.232814145557</v>
      </c>
      <c r="D187" s="6" t="n">
        <v>3030.197185854443</v>
      </c>
      <c r="E187" s="6" t="n">
        <v>517167.0530774348</v>
      </c>
    </row>
    <row r="188">
      <c r="A188" t="n">
        <v>185</v>
      </c>
      <c r="B188" s="6" t="n">
        <v>6281.43</v>
      </c>
      <c r="C188" s="6" t="n">
        <v>3232.294081733967</v>
      </c>
      <c r="D188" s="6" t="n">
        <v>3049.135918266033</v>
      </c>
      <c r="E188" s="6" t="n">
        <v>514117.9171591687</v>
      </c>
    </row>
    <row r="189">
      <c r="A189" t="n">
        <v>186</v>
      </c>
      <c r="B189" s="6" t="n">
        <v>6281.43</v>
      </c>
      <c r="C189" s="6" t="n">
        <v>3213.236982244804</v>
      </c>
      <c r="D189" s="6" t="n">
        <v>3068.193017755196</v>
      </c>
      <c r="E189" s="6" t="n">
        <v>511049.7241414136</v>
      </c>
    </row>
    <row r="190">
      <c r="A190" t="n">
        <v>187</v>
      </c>
      <c r="B190" s="6" t="n">
        <v>6281.43</v>
      </c>
      <c r="C190" s="6" t="n">
        <v>3194.060775883835</v>
      </c>
      <c r="D190" s="6" t="n">
        <v>3087.369224116166</v>
      </c>
      <c r="E190" s="6" t="n">
        <v>507962.3549172974</v>
      </c>
    </row>
    <row r="191">
      <c r="A191" t="n">
        <v>188</v>
      </c>
      <c r="B191" s="6" t="n">
        <v>6281.43</v>
      </c>
      <c r="C191" s="6" t="n">
        <v>3174.764718233109</v>
      </c>
      <c r="D191" s="6" t="n">
        <v>3106.665281766891</v>
      </c>
      <c r="E191" s="6" t="n">
        <v>504855.6896355305</v>
      </c>
    </row>
    <row r="192">
      <c r="A192" t="n">
        <v>189</v>
      </c>
      <c r="B192" s="6" t="n">
        <v>6281.43</v>
      </c>
      <c r="C192" s="6" t="n">
        <v>3155.348060222066</v>
      </c>
      <c r="D192" s="6" t="n">
        <v>3126.081939777935</v>
      </c>
      <c r="E192" s="6" t="n">
        <v>501729.6076957526</v>
      </c>
    </row>
    <row r="193">
      <c r="A193" t="n">
        <v>190</v>
      </c>
      <c r="B193" s="6" t="n">
        <v>6281.43</v>
      </c>
      <c r="C193" s="6" t="n">
        <v>3135.810048098454</v>
      </c>
      <c r="D193" s="6" t="n">
        <v>3145.619951901547</v>
      </c>
      <c r="E193" s="6" t="n">
        <v>498583.987743851</v>
      </c>
    </row>
    <row r="194">
      <c r="A194" t="n">
        <v>191</v>
      </c>
      <c r="B194" s="6" t="n">
        <v>6281.43</v>
      </c>
      <c r="C194" s="6" t="n">
        <v>3116.149923399068</v>
      </c>
      <c r="D194" s="6" t="n">
        <v>3165.280076600932</v>
      </c>
      <c r="E194" s="6" t="n">
        <v>495418.7076672501</v>
      </c>
    </row>
    <row r="195">
      <c r="A195" t="n">
        <v>192</v>
      </c>
      <c r="B195" s="6" t="n">
        <v>6281.43</v>
      </c>
      <c r="C195" s="6" t="n">
        <v>3096.366922920313</v>
      </c>
      <c r="D195" s="6" t="n">
        <v>3185.063077079687</v>
      </c>
      <c r="E195" s="6" t="n">
        <v>492233.6445901704</v>
      </c>
    </row>
    <row r="196">
      <c r="A196" t="n">
        <v>193</v>
      </c>
      <c r="B196" s="6" t="n">
        <v>6281.43</v>
      </c>
      <c r="C196" s="6" t="n">
        <v>3076.460278688564</v>
      </c>
      <c r="D196" s="6" t="n">
        <v>3204.969721311436</v>
      </c>
      <c r="E196" s="6" t="n">
        <v>489028.6748688589</v>
      </c>
    </row>
    <row r="197">
      <c r="A197" t="n">
        <v>194</v>
      </c>
      <c r="B197" s="6" t="n">
        <v>6281.43</v>
      </c>
      <c r="C197" s="6" t="n">
        <v>3056.429217930368</v>
      </c>
      <c r="D197" s="6" t="n">
        <v>3225.000782069632</v>
      </c>
      <c r="E197" s="6" t="n">
        <v>485803.6740867893</v>
      </c>
    </row>
    <row r="198">
      <c r="A198" t="n">
        <v>195</v>
      </c>
      <c r="B198" s="6" t="n">
        <v>6281.43</v>
      </c>
      <c r="C198" s="6" t="n">
        <v>3036.272963042433</v>
      </c>
      <c r="D198" s="6" t="n">
        <v>3245.157036957567</v>
      </c>
      <c r="E198" s="6" t="n">
        <v>482558.5170498317</v>
      </c>
    </row>
    <row r="199">
      <c r="A199" t="n">
        <v>196</v>
      </c>
      <c r="B199" s="6" t="n">
        <v>6281.43</v>
      </c>
      <c r="C199" s="6" t="n">
        <v>3015.990731561448</v>
      </c>
      <c r="D199" s="6" t="n">
        <v>3265.439268438552</v>
      </c>
      <c r="E199" s="6" t="n">
        <v>479293.0777813932</v>
      </c>
    </row>
    <row r="200">
      <c r="A200" t="n">
        <v>197</v>
      </c>
      <c r="B200" s="6" t="n">
        <v>6281.43</v>
      </c>
      <c r="C200" s="6" t="n">
        <v>2995.581736133707</v>
      </c>
      <c r="D200" s="6" t="n">
        <v>3285.848263866293</v>
      </c>
      <c r="E200" s="6" t="n">
        <v>476007.2295175269</v>
      </c>
    </row>
    <row r="201">
      <c r="A201" t="n">
        <v>198</v>
      </c>
      <c r="B201" s="6" t="n">
        <v>6281.43</v>
      </c>
      <c r="C201" s="6" t="n">
        <v>2975.045184484543</v>
      </c>
      <c r="D201" s="6" t="n">
        <v>3306.384815515457</v>
      </c>
      <c r="E201" s="6" t="n">
        <v>472700.8447020114</v>
      </c>
    </row>
    <row r="202">
      <c r="A202" t="n">
        <v>199</v>
      </c>
      <c r="B202" s="6" t="n">
        <v>6281.43</v>
      </c>
      <c r="C202" s="6" t="n">
        <v>2954.380279387571</v>
      </c>
      <c r="D202" s="6" t="n">
        <v>3327.049720612429</v>
      </c>
      <c r="E202" s="6" t="n">
        <v>469373.794981399</v>
      </c>
    </row>
    <row r="203">
      <c r="A203" t="n">
        <v>200</v>
      </c>
      <c r="B203" s="6" t="n">
        <v>6281.43</v>
      </c>
      <c r="C203" s="6" t="n">
        <v>2933.586218633744</v>
      </c>
      <c r="D203" s="6" t="n">
        <v>3347.843781366257</v>
      </c>
      <c r="E203" s="6" t="n">
        <v>466025.9512000328</v>
      </c>
    </row>
    <row r="204">
      <c r="A204" t="n">
        <v>201</v>
      </c>
      <c r="B204" s="6" t="n">
        <v>6281.43</v>
      </c>
      <c r="C204" s="6" t="n">
        <v>2912.662195000205</v>
      </c>
      <c r="D204" s="6" t="n">
        <v>3368.767804999796</v>
      </c>
      <c r="E204" s="6" t="n">
        <v>462657.183395033</v>
      </c>
    </row>
    <row r="205">
      <c r="A205" t="n">
        <v>202</v>
      </c>
      <c r="B205" s="6" t="n">
        <v>6281.43</v>
      </c>
      <c r="C205" s="6" t="n">
        <v>2891.607396218956</v>
      </c>
      <c r="D205" s="6" t="n">
        <v>3389.822603781044</v>
      </c>
      <c r="E205" s="6" t="n">
        <v>459267.3607912519</v>
      </c>
    </row>
    <row r="206">
      <c r="A206" t="n">
        <v>203</v>
      </c>
      <c r="B206" s="6" t="n">
        <v>6281.43</v>
      </c>
      <c r="C206" s="6" t="n">
        <v>2870.421004945325</v>
      </c>
      <c r="D206" s="6" t="n">
        <v>3411.008995054676</v>
      </c>
      <c r="E206" s="6" t="n">
        <v>455856.3517961972</v>
      </c>
    </row>
    <row r="207">
      <c r="A207" t="n">
        <v>204</v>
      </c>
      <c r="B207" s="6" t="n">
        <v>6281.43</v>
      </c>
      <c r="C207" s="6" t="n">
        <v>2849.102198726232</v>
      </c>
      <c r="D207" s="6" t="n">
        <v>3432.327801273768</v>
      </c>
      <c r="E207" s="6" t="n">
        <v>452424.0239949235</v>
      </c>
    </row>
    <row r="208">
      <c r="A208" t="n">
        <v>205</v>
      </c>
      <c r="B208" s="6" t="n">
        <v>6281.43</v>
      </c>
      <c r="C208" s="6" t="n">
        <v>2827.650149968271</v>
      </c>
      <c r="D208" s="6" t="n">
        <v>3453.779850031729</v>
      </c>
      <c r="E208" s="6" t="n">
        <v>448970.2441448917</v>
      </c>
    </row>
    <row r="209">
      <c r="A209" t="n">
        <v>206</v>
      </c>
      <c r="B209" s="6" t="n">
        <v>6281.43</v>
      </c>
      <c r="C209" s="6" t="n">
        <v>2806.064025905573</v>
      </c>
      <c r="D209" s="6" t="n">
        <v>3475.365974094427</v>
      </c>
      <c r="E209" s="6" t="n">
        <v>445494.8781707973</v>
      </c>
    </row>
    <row r="210">
      <c r="A210" t="n">
        <v>207</v>
      </c>
      <c r="B210" s="6" t="n">
        <v>6281.43</v>
      </c>
      <c r="C210" s="6" t="n">
        <v>2784.342988567483</v>
      </c>
      <c r="D210" s="6" t="n">
        <v>3497.087011432518</v>
      </c>
      <c r="E210" s="6" t="n">
        <v>441997.7911593648</v>
      </c>
    </row>
    <row r="211">
      <c r="A211" t="n">
        <v>208</v>
      </c>
      <c r="B211" s="6" t="n">
        <v>6281.43</v>
      </c>
      <c r="C211" s="6" t="n">
        <v>2762.48619474603</v>
      </c>
      <c r="D211" s="6" t="n">
        <v>3518.94380525397</v>
      </c>
      <c r="E211" s="6" t="n">
        <v>438478.8473541109</v>
      </c>
    </row>
    <row r="212">
      <c r="A212" t="n">
        <v>209</v>
      </c>
      <c r="B212" s="6" t="n">
        <v>6281.43</v>
      </c>
      <c r="C212" s="6" t="n">
        <v>2740.492795963193</v>
      </c>
      <c r="D212" s="6" t="n">
        <v>3540.937204036808</v>
      </c>
      <c r="E212" s="6" t="n">
        <v>434937.9101500741</v>
      </c>
    </row>
    <row r="213">
      <c r="A213" t="n">
        <v>210</v>
      </c>
      <c r="B213" s="6" t="n">
        <v>6281.43</v>
      </c>
      <c r="C213" s="6" t="n">
        <v>2718.361938437963</v>
      </c>
      <c r="D213" s="6" t="n">
        <v>3563.068061562038</v>
      </c>
      <c r="E213" s="6" t="n">
        <v>431374.842088512</v>
      </c>
    </row>
    <row r="214">
      <c r="A214" t="n">
        <v>211</v>
      </c>
      <c r="B214" s="6" t="n">
        <v>6281.43</v>
      </c>
      <c r="C214" s="6" t="n">
        <v>2696.0927630532</v>
      </c>
      <c r="D214" s="6" t="n">
        <v>3585.3372369468</v>
      </c>
      <c r="E214" s="6" t="n">
        <v>427789.5048515652</v>
      </c>
    </row>
    <row r="215">
      <c r="A215" t="n">
        <v>212</v>
      </c>
      <c r="B215" s="6" t="n">
        <v>6281.43</v>
      </c>
      <c r="C215" s="6" t="n">
        <v>2673.684405322283</v>
      </c>
      <c r="D215" s="6" t="n">
        <v>3607.745594677718</v>
      </c>
      <c r="E215" s="6" t="n">
        <v>424181.7592568875</v>
      </c>
    </row>
    <row r="216">
      <c r="A216" t="n">
        <v>213</v>
      </c>
      <c r="B216" s="6" t="n">
        <v>6281.43</v>
      </c>
      <c r="C216" s="6" t="n">
        <v>2651.135995355547</v>
      </c>
      <c r="D216" s="6" t="n">
        <v>3630.294004644453</v>
      </c>
      <c r="E216" s="6" t="n">
        <v>420551.4652522431</v>
      </c>
    </row>
    <row r="217">
      <c r="A217" t="n">
        <v>214</v>
      </c>
      <c r="B217" s="6" t="n">
        <v>6281.43</v>
      </c>
      <c r="C217" s="6" t="n">
        <v>2628.446657826519</v>
      </c>
      <c r="D217" s="6" t="n">
        <v>3652.983342173481</v>
      </c>
      <c r="E217" s="6" t="n">
        <v>416898.4819100696</v>
      </c>
    </row>
    <row r="218">
      <c r="A218" t="n">
        <v>215</v>
      </c>
      <c r="B218" s="6" t="n">
        <v>6281.43</v>
      </c>
      <c r="C218" s="6" t="n">
        <v>2605.615511937935</v>
      </c>
      <c r="D218" s="6" t="n">
        <v>3675.814488062066</v>
      </c>
      <c r="E218" s="6" t="n">
        <v>413222.6674220075</v>
      </c>
    </row>
    <row r="219">
      <c r="A219" t="n">
        <v>216</v>
      </c>
      <c r="B219" s="6" t="n">
        <v>6281.43</v>
      </c>
      <c r="C219" s="6" t="n">
        <v>2582.641671387547</v>
      </c>
      <c r="D219" s="6" t="n">
        <v>3698.788328612453</v>
      </c>
      <c r="E219" s="6" t="n">
        <v>409523.8790933951</v>
      </c>
    </row>
    <row r="220">
      <c r="A220" t="n">
        <v>217</v>
      </c>
      <c r="B220" s="6" t="n">
        <v>6281.43</v>
      </c>
      <c r="C220" s="6" t="n">
        <v>2559.524244333719</v>
      </c>
      <c r="D220" s="6" t="n">
        <v>3721.905755666281</v>
      </c>
      <c r="E220" s="6" t="n">
        <v>405801.9733377288</v>
      </c>
    </row>
    <row r="221">
      <c r="A221" t="n">
        <v>218</v>
      </c>
      <c r="B221" s="6" t="n">
        <v>6281.43</v>
      </c>
      <c r="C221" s="6" t="n">
        <v>2536.262333360805</v>
      </c>
      <c r="D221" s="6" t="n">
        <v>3745.167666639195</v>
      </c>
      <c r="E221" s="6" t="n">
        <v>402056.8056710896</v>
      </c>
    </row>
    <row r="222">
      <c r="A222" t="n">
        <v>219</v>
      </c>
      <c r="B222" s="6" t="n">
        <v>6281.43</v>
      </c>
      <c r="C222" s="6" t="n">
        <v>2512.85503544431</v>
      </c>
      <c r="D222" s="6" t="n">
        <v>3768.57496455569</v>
      </c>
      <c r="E222" s="6" t="n">
        <v>398288.2307065339</v>
      </c>
    </row>
    <row r="223">
      <c r="A223" t="n">
        <v>220</v>
      </c>
      <c r="B223" s="6" t="n">
        <v>6281.43</v>
      </c>
      <c r="C223" s="6" t="n">
        <v>2489.301441915837</v>
      </c>
      <c r="D223" s="6" t="n">
        <v>3792.128558084163</v>
      </c>
      <c r="E223" s="6" t="n">
        <v>394496.1021484498</v>
      </c>
    </row>
    <row r="224">
      <c r="A224" t="n">
        <v>221</v>
      </c>
      <c r="B224" s="6" t="n">
        <v>6281.43</v>
      </c>
      <c r="C224" s="6" t="n">
        <v>2465.600638427811</v>
      </c>
      <c r="D224" s="6" t="n">
        <v>3815.829361572189</v>
      </c>
      <c r="E224" s="6" t="n">
        <v>390680.2727868776</v>
      </c>
    </row>
    <row r="225">
      <c r="A225" t="n">
        <v>222</v>
      </c>
      <c r="B225" s="6" t="n">
        <v>6281.43</v>
      </c>
      <c r="C225" s="6" t="n">
        <v>2441.751704917985</v>
      </c>
      <c r="D225" s="6" t="n">
        <v>3839.678295082015</v>
      </c>
      <c r="E225" s="6" t="n">
        <v>386840.5944917956</v>
      </c>
    </row>
    <row r="226">
      <c r="A226" t="n">
        <v>223</v>
      </c>
      <c r="B226" s="6" t="n">
        <v>6281.43</v>
      </c>
      <c r="C226" s="6" t="n">
        <v>2417.753715573723</v>
      </c>
      <c r="D226" s="6" t="n">
        <v>3863.676284426278</v>
      </c>
      <c r="E226" s="6" t="n">
        <v>382976.9182073693</v>
      </c>
    </row>
    <row r="227">
      <c r="A227" t="n">
        <v>224</v>
      </c>
      <c r="B227" s="6" t="n">
        <v>6281.43</v>
      </c>
      <c r="C227" s="6" t="n">
        <v>2393.605738796058</v>
      </c>
      <c r="D227" s="6" t="n">
        <v>3887.824261203942</v>
      </c>
      <c r="E227" s="6" t="n">
        <v>379089.0939461654</v>
      </c>
    </row>
    <row r="228">
      <c r="A228" t="n">
        <v>225</v>
      </c>
      <c r="B228" s="6" t="n">
        <v>6281.43</v>
      </c>
      <c r="C228" s="6" t="n">
        <v>2369.306837163534</v>
      </c>
      <c r="D228" s="6" t="n">
        <v>3912.123162836467</v>
      </c>
      <c r="E228" s="6" t="n">
        <v>375176.9707833289</v>
      </c>
    </row>
    <row r="229">
      <c r="A229" t="n">
        <v>226</v>
      </c>
      <c r="B229" s="6" t="n">
        <v>6281.43</v>
      </c>
      <c r="C229" s="6" t="n">
        <v>2344.856067395805</v>
      </c>
      <c r="D229" s="6" t="n">
        <v>3936.573932604195</v>
      </c>
      <c r="E229" s="6" t="n">
        <v>371240.3968507247</v>
      </c>
    </row>
    <row r="230">
      <c r="A230" t="n">
        <v>227</v>
      </c>
      <c r="B230" s="6" t="n">
        <v>6281.43</v>
      </c>
      <c r="C230" s="6" t="n">
        <v>2320.252480317029</v>
      </c>
      <c r="D230" s="6" t="n">
        <v>3961.177519682971</v>
      </c>
      <c r="E230" s="6" t="n">
        <v>367279.2193310417</v>
      </c>
    </row>
    <row r="231">
      <c r="A231" t="n">
        <v>228</v>
      </c>
      <c r="B231" s="6" t="n">
        <v>6281.43</v>
      </c>
      <c r="C231" s="6" t="n">
        <v>2295.49512081901</v>
      </c>
      <c r="D231" s="6" t="n">
        <v>3985.93487918099</v>
      </c>
      <c r="E231" s="6" t="n">
        <v>363293.2844518608</v>
      </c>
    </row>
    <row r="232">
      <c r="A232" t="n">
        <v>229</v>
      </c>
      <c r="B232" s="6" t="n">
        <v>6281.43</v>
      </c>
      <c r="C232" s="6" t="n">
        <v>2270.58302782413</v>
      </c>
      <c r="D232" s="6" t="n">
        <v>4010.846972175871</v>
      </c>
      <c r="E232" s="6" t="n">
        <v>359282.4374796849</v>
      </c>
    </row>
    <row r="233">
      <c r="A233" t="n">
        <v>230</v>
      </c>
      <c r="B233" s="6" t="n">
        <v>6281.43</v>
      </c>
      <c r="C233" s="6" t="n">
        <v>2245.515234248031</v>
      </c>
      <c r="D233" s="6" t="n">
        <v>4035.91476575197</v>
      </c>
      <c r="E233" s="6" t="n">
        <v>355246.5227139329</v>
      </c>
    </row>
    <row r="234">
      <c r="A234" t="n">
        <v>231</v>
      </c>
      <c r="B234" s="6" t="n">
        <v>6281.43</v>
      </c>
      <c r="C234" s="6" t="n">
        <v>2220.29076696208</v>
      </c>
      <c r="D234" s="6" t="n">
        <v>4061.13923303792</v>
      </c>
      <c r="E234" s="6" t="n">
        <v>351185.383480895</v>
      </c>
    </row>
    <row r="235">
      <c r="A235" t="n">
        <v>232</v>
      </c>
      <c r="B235" s="6" t="n">
        <v>6281.43</v>
      </c>
      <c r="C235" s="6" t="n">
        <v>2194.908646755594</v>
      </c>
      <c r="D235" s="6" t="n">
        <v>4086.521353244407</v>
      </c>
      <c r="E235" s="6" t="n">
        <v>347098.8621276505</v>
      </c>
    </row>
    <row r="236">
      <c r="A236" t="n">
        <v>233</v>
      </c>
      <c r="B236" s="6" t="n">
        <v>6281.43</v>
      </c>
      <c r="C236" s="6" t="n">
        <v>2169.367888297816</v>
      </c>
      <c r="D236" s="6" t="n">
        <v>4112.062111702185</v>
      </c>
      <c r="E236" s="6" t="n">
        <v>342986.8000159484</v>
      </c>
    </row>
    <row r="237">
      <c r="A237" t="n">
        <v>234</v>
      </c>
      <c r="B237" s="6" t="n">
        <v>6281.43</v>
      </c>
      <c r="C237" s="6" t="n">
        <v>2143.667500099677</v>
      </c>
      <c r="D237" s="6" t="n">
        <v>4137.762499900324</v>
      </c>
      <c r="E237" s="6" t="n">
        <v>338849.0375160481</v>
      </c>
    </row>
    <row r="238">
      <c r="A238" t="n">
        <v>235</v>
      </c>
      <c r="B238" s="6" t="n">
        <v>6281.43</v>
      </c>
      <c r="C238" s="6" t="n">
        <v>2117.8064844753</v>
      </c>
      <c r="D238" s="6" t="n">
        <v>4163.6235155247</v>
      </c>
      <c r="E238" s="6" t="n">
        <v>334685.4140005233</v>
      </c>
    </row>
    <row r="239">
      <c r="A239" t="n">
        <v>236</v>
      </c>
      <c r="B239" s="6" t="n">
        <v>6281.43</v>
      </c>
      <c r="C239" s="6" t="n">
        <v>2091.783837503271</v>
      </c>
      <c r="D239" s="6" t="n">
        <v>4189.64616249673</v>
      </c>
      <c r="E239" s="6" t="n">
        <v>330495.7678380266</v>
      </c>
    </row>
    <row r="240">
      <c r="A240" t="n">
        <v>237</v>
      </c>
      <c r="B240" s="6" t="n">
        <v>6281.43</v>
      </c>
      <c r="C240" s="6" t="n">
        <v>2065.598548987666</v>
      </c>
      <c r="D240" s="6" t="n">
        <v>4215.831451012335</v>
      </c>
      <c r="E240" s="6" t="n">
        <v>326279.9363870143</v>
      </c>
    </row>
    <row r="241">
      <c r="A241" t="n">
        <v>238</v>
      </c>
      <c r="B241" s="6" t="n">
        <v>6281.43</v>
      </c>
      <c r="C241" s="6" t="n">
        <v>2039.249602418839</v>
      </c>
      <c r="D241" s="6" t="n">
        <v>4242.180397581162</v>
      </c>
      <c r="E241" s="6" t="n">
        <v>322037.7559894331</v>
      </c>
    </row>
    <row r="242">
      <c r="A242" t="n">
        <v>239</v>
      </c>
      <c r="B242" s="6" t="n">
        <v>6281.43</v>
      </c>
      <c r="C242" s="6" t="n">
        <v>2012.735974933957</v>
      </c>
      <c r="D242" s="6" t="n">
        <v>4268.694025066043</v>
      </c>
      <c r="E242" s="6" t="n">
        <v>317769.0619643671</v>
      </c>
    </row>
    <row r="243">
      <c r="A243" t="n">
        <v>240</v>
      </c>
      <c r="B243" s="6" t="n">
        <v>6281.43</v>
      </c>
      <c r="C243" s="6" t="n">
        <v>1986.056637277294</v>
      </c>
      <c r="D243" s="6" t="n">
        <v>4295.373362722707</v>
      </c>
      <c r="E243" s="6" t="n">
        <v>313473.6886016444</v>
      </c>
    </row>
    <row r="244">
      <c r="A244" t="n">
        <v>241</v>
      </c>
      <c r="B244" s="6" t="n">
        <v>6281.43</v>
      </c>
      <c r="C244" s="6" t="n">
        <v>1959.210553760277</v>
      </c>
      <c r="D244" s="6" t="n">
        <v>4322.219446239723</v>
      </c>
      <c r="E244" s="6" t="n">
        <v>309151.4691554047</v>
      </c>
    </row>
    <row r="245">
      <c r="A245" t="n">
        <v>242</v>
      </c>
      <c r="B245" s="6" t="n">
        <v>6281.43</v>
      </c>
      <c r="C245" s="6" t="n">
        <v>1932.196682221279</v>
      </c>
      <c r="D245" s="6" t="n">
        <v>4349.23331777872</v>
      </c>
      <c r="E245" s="6" t="n">
        <v>304802.235837626</v>
      </c>
    </row>
    <row r="246">
      <c r="A246" t="n">
        <v>243</v>
      </c>
      <c r="B246" s="6" t="n">
        <v>6281.43</v>
      </c>
      <c r="C246" s="6" t="n">
        <v>1905.013973985162</v>
      </c>
      <c r="D246" s="6" t="n">
        <v>4376.416026014838</v>
      </c>
      <c r="E246" s="6" t="n">
        <v>300425.8198116111</v>
      </c>
    </row>
    <row r="247">
      <c r="A247" t="n">
        <v>244</v>
      </c>
      <c r="B247" s="6" t="n">
        <v>6281.43</v>
      </c>
      <c r="C247" s="6" t="n">
        <v>1877.661373822569</v>
      </c>
      <c r="D247" s="6" t="n">
        <v>4403.768626177431</v>
      </c>
      <c r="E247" s="6" t="n">
        <v>296022.0511854337</v>
      </c>
    </row>
    <row r="248">
      <c r="A248" t="n">
        <v>245</v>
      </c>
      <c r="B248" s="6" t="n">
        <v>6281.43</v>
      </c>
      <c r="C248" s="6" t="n">
        <v>1850.13781990896</v>
      </c>
      <c r="D248" s="6" t="n">
        <v>4431.29218009104</v>
      </c>
      <c r="E248" s="6" t="n">
        <v>291590.7590053427</v>
      </c>
    </row>
    <row r="249">
      <c r="A249" t="n">
        <v>246</v>
      </c>
      <c r="B249" s="6" t="n">
        <v>6281.43</v>
      </c>
      <c r="C249" s="6" t="n">
        <v>1822.442243783392</v>
      </c>
      <c r="D249" s="6" t="n">
        <v>4458.987756216608</v>
      </c>
      <c r="E249" s="6" t="n">
        <v>287131.7712491261</v>
      </c>
    </row>
    <row r="250">
      <c r="A250" t="n">
        <v>247</v>
      </c>
      <c r="B250" s="6" t="n">
        <v>6281.43</v>
      </c>
      <c r="C250" s="6" t="n">
        <v>1794.573570307038</v>
      </c>
      <c r="D250" s="6" t="n">
        <v>4486.856429692963</v>
      </c>
      <c r="E250" s="6" t="n">
        <v>282644.9148194331</v>
      </c>
    </row>
    <row r="251">
      <c r="A251" t="n">
        <v>248</v>
      </c>
      <c r="B251" s="6" t="n">
        <v>6281.43</v>
      </c>
      <c r="C251" s="6" t="n">
        <v>1766.530717621457</v>
      </c>
      <c r="D251" s="6" t="n">
        <v>4514.899282378543</v>
      </c>
      <c r="E251" s="6" t="n">
        <v>278130.0155370546</v>
      </c>
    </row>
    <row r="252">
      <c r="A252" t="n">
        <v>249</v>
      </c>
      <c r="B252" s="6" t="n">
        <v>6281.43</v>
      </c>
      <c r="C252" s="6" t="n">
        <v>1738.312597106591</v>
      </c>
      <c r="D252" s="6" t="n">
        <v>4543.117402893409</v>
      </c>
      <c r="E252" s="6" t="n">
        <v>273586.8981341611</v>
      </c>
    </row>
    <row r="253">
      <c r="A253" t="n">
        <v>250</v>
      </c>
      <c r="B253" s="6" t="n">
        <v>6281.43</v>
      </c>
      <c r="C253" s="6" t="n">
        <v>1709.918113338507</v>
      </c>
      <c r="D253" s="6" t="n">
        <v>4571.511886661493</v>
      </c>
      <c r="E253" s="6" t="n">
        <v>269015.3862474997</v>
      </c>
    </row>
    <row r="254">
      <c r="A254" t="n">
        <v>251</v>
      </c>
      <c r="B254" s="6" t="n">
        <v>6281.43</v>
      </c>
      <c r="C254" s="6" t="n">
        <v>1681.346164046873</v>
      </c>
      <c r="D254" s="6" t="n">
        <v>4600.083835953127</v>
      </c>
      <c r="E254" s="6" t="n">
        <v>264415.3024115465</v>
      </c>
    </row>
    <row r="255">
      <c r="A255" t="n">
        <v>252</v>
      </c>
      <c r="B255" s="6" t="n">
        <v>6281.43</v>
      </c>
      <c r="C255" s="6" t="n">
        <v>1652.595640072166</v>
      </c>
      <c r="D255" s="6" t="n">
        <v>4628.834359927834</v>
      </c>
      <c r="E255" s="6" t="n">
        <v>259786.4680516187</v>
      </c>
    </row>
    <row r="256">
      <c r="A256" t="n">
        <v>253</v>
      </c>
      <c r="B256" s="6" t="n">
        <v>6281.43</v>
      </c>
      <c r="C256" s="6" t="n">
        <v>1623.665425322617</v>
      </c>
      <c r="D256" s="6" t="n">
        <v>4657.764574677383</v>
      </c>
      <c r="E256" s="6" t="n">
        <v>255128.7034769413</v>
      </c>
    </row>
    <row r="257">
      <c r="A257" t="n">
        <v>254</v>
      </c>
      <c r="B257" s="6" t="n">
        <v>6281.43</v>
      </c>
      <c r="C257" s="6" t="n">
        <v>1594.554396730883</v>
      </c>
      <c r="D257" s="6" t="n">
        <v>4686.875603269117</v>
      </c>
      <c r="E257" s="6" t="n">
        <v>250441.8278736722</v>
      </c>
    </row>
    <row r="258">
      <c r="A258" t="n">
        <v>255</v>
      </c>
      <c r="B258" s="6" t="n">
        <v>6281.43</v>
      </c>
      <c r="C258" s="6" t="n">
        <v>1565.261424210451</v>
      </c>
      <c r="D258" s="6" t="n">
        <v>4716.168575789549</v>
      </c>
      <c r="E258" s="6" t="n">
        <v>245725.6592978826</v>
      </c>
    </row>
    <row r="259">
      <c r="A259" t="n">
        <v>256</v>
      </c>
      <c r="B259" s="6" t="n">
        <v>6281.43</v>
      </c>
      <c r="C259" s="6" t="n">
        <v>1535.785370611766</v>
      </c>
      <c r="D259" s="6" t="n">
        <v>4745.644629388234</v>
      </c>
      <c r="E259" s="6" t="n">
        <v>240980.0146684944</v>
      </c>
    </row>
    <row r="260">
      <c r="A260" t="n">
        <v>257</v>
      </c>
      <c r="B260" s="6" t="n">
        <v>6281.43</v>
      </c>
      <c r="C260" s="6" t="n">
        <v>1506.12509167809</v>
      </c>
      <c r="D260" s="6" t="n">
        <v>4775.30490832191</v>
      </c>
      <c r="E260" s="6" t="n">
        <v>236204.7097601725</v>
      </c>
    </row>
    <row r="261">
      <c r="A261" t="n">
        <v>258</v>
      </c>
      <c r="B261" s="6" t="n">
        <v>6281.43</v>
      </c>
      <c r="C261" s="6" t="n">
        <v>1476.279436001078</v>
      </c>
      <c r="D261" s="6" t="n">
        <v>4805.150563998923</v>
      </c>
      <c r="E261" s="6" t="n">
        <v>231399.5591961736</v>
      </c>
    </row>
    <row r="262">
      <c r="A262" t="n">
        <v>259</v>
      </c>
      <c r="B262" s="6" t="n">
        <v>6281.43</v>
      </c>
      <c r="C262" s="6" t="n">
        <v>1446.247244976085</v>
      </c>
      <c r="D262" s="6" t="n">
        <v>4835.182755023916</v>
      </c>
      <c r="E262" s="6" t="n">
        <v>226564.3764411497</v>
      </c>
    </row>
    <row r="263">
      <c r="A263" t="n">
        <v>260</v>
      </c>
      <c r="B263" s="6" t="n">
        <v>6281.43</v>
      </c>
      <c r="C263" s="6" t="n">
        <v>1416.027352757185</v>
      </c>
      <c r="D263" s="6" t="n">
        <v>4865.402647242815</v>
      </c>
      <c r="E263" s="6" t="n">
        <v>221698.9737939068</v>
      </c>
    </row>
    <row r="264">
      <c r="A264" t="n">
        <v>261</v>
      </c>
      <c r="B264" s="6" t="n">
        <v>6281.43</v>
      </c>
      <c r="C264" s="6" t="n">
        <v>1385.618586211918</v>
      </c>
      <c r="D264" s="6" t="n">
        <v>4895.811413788083</v>
      </c>
      <c r="E264" s="6" t="n">
        <v>216803.1623801187</v>
      </c>
    </row>
    <row r="265">
      <c r="A265" t="n">
        <v>262</v>
      </c>
      <c r="B265" s="6" t="n">
        <v>6281.43</v>
      </c>
      <c r="C265" s="6" t="n">
        <v>1355.019764875742</v>
      </c>
      <c r="D265" s="6" t="n">
        <v>4926.410235124258</v>
      </c>
      <c r="E265" s="6" t="n">
        <v>211876.7521449945</v>
      </c>
    </row>
    <row r="266">
      <c r="A266" t="n">
        <v>263</v>
      </c>
      <c r="B266" s="6" t="n">
        <v>6281.43</v>
      </c>
      <c r="C266" s="6" t="n">
        <v>1324.229700906215</v>
      </c>
      <c r="D266" s="6" t="n">
        <v>4957.200299093785</v>
      </c>
      <c r="E266" s="6" t="n">
        <v>206919.5518459007</v>
      </c>
    </row>
    <row r="267">
      <c r="A267" t="n">
        <v>264</v>
      </c>
      <c r="B267" s="6" t="n">
        <v>6281.43</v>
      </c>
      <c r="C267" s="6" t="n">
        <v>1293.247199036879</v>
      </c>
      <c r="D267" s="6" t="n">
        <v>4988.182800963121</v>
      </c>
      <c r="E267" s="6" t="n">
        <v>201931.3690449376</v>
      </c>
    </row>
    <row r="268">
      <c r="A268" t="n">
        <v>265</v>
      </c>
      <c r="B268" s="6" t="n">
        <v>6281.43</v>
      </c>
      <c r="C268" s="6" t="n">
        <v>1262.07105653086</v>
      </c>
      <c r="D268" s="6" t="n">
        <v>5019.35894346914</v>
      </c>
      <c r="E268" s="6" t="n">
        <v>196912.0101014684</v>
      </c>
    </row>
    <row r="269">
      <c r="A269" t="n">
        <v>266</v>
      </c>
      <c r="B269" s="6" t="n">
        <v>6281.43</v>
      </c>
      <c r="C269" s="6" t="n">
        <v>1230.700063134178</v>
      </c>
      <c r="D269" s="6" t="n">
        <v>5050.729936865822</v>
      </c>
      <c r="E269" s="6" t="n">
        <v>191861.2801646026</v>
      </c>
    </row>
    <row r="270">
      <c r="A270" t="n">
        <v>267</v>
      </c>
      <c r="B270" s="6" t="n">
        <v>6281.43</v>
      </c>
      <c r="C270" s="6" t="n">
        <v>1199.133001028766</v>
      </c>
      <c r="D270" s="6" t="n">
        <v>5082.296998971235</v>
      </c>
      <c r="E270" s="6" t="n">
        <v>186778.9831656314</v>
      </c>
    </row>
    <row r="271">
      <c r="A271" t="n">
        <v>268</v>
      </c>
      <c r="B271" s="6" t="n">
        <v>6281.43</v>
      </c>
      <c r="C271" s="6" t="n">
        <v>1167.368644785196</v>
      </c>
      <c r="D271" s="6" t="n">
        <v>5114.061355214804</v>
      </c>
      <c r="E271" s="6" t="n">
        <v>181664.9218104166</v>
      </c>
    </row>
    <row r="272">
      <c r="A272" t="n">
        <v>269</v>
      </c>
      <c r="B272" s="6" t="n">
        <v>6281.43</v>
      </c>
      <c r="C272" s="6" t="n">
        <v>1135.405761315104</v>
      </c>
      <c r="D272" s="6" t="n">
        <v>5146.024238684897</v>
      </c>
      <c r="E272" s="6" t="n">
        <v>176518.8975717317</v>
      </c>
    </row>
    <row r="273">
      <c r="A273" t="n">
        <v>270</v>
      </c>
      <c r="B273" s="6" t="n">
        <v>6281.43</v>
      </c>
      <c r="C273" s="6" t="n">
        <v>1103.243109823323</v>
      </c>
      <c r="D273" s="6" t="n">
        <v>5178.186890176677</v>
      </c>
      <c r="E273" s="6" t="n">
        <v>171340.710681555</v>
      </c>
    </row>
    <row r="274">
      <c r="A274" t="n">
        <v>271</v>
      </c>
      <c r="B274" s="6" t="n">
        <v>6281.43</v>
      </c>
      <c r="C274" s="6" t="n">
        <v>1070.879441759719</v>
      </c>
      <c r="D274" s="6" t="n">
        <v>5210.550558240282</v>
      </c>
      <c r="E274" s="6" t="n">
        <v>166130.1601233147</v>
      </c>
    </row>
    <row r="275">
      <c r="A275" t="n">
        <v>272</v>
      </c>
      <c r="B275" s="6" t="n">
        <v>6281.43</v>
      </c>
      <c r="C275" s="6" t="n">
        <v>1038.313500770717</v>
      </c>
      <c r="D275" s="6" t="n">
        <v>5243.116499229283</v>
      </c>
      <c r="E275" s="6" t="n">
        <v>160887.0436240855</v>
      </c>
    </row>
    <row r="276">
      <c r="A276" t="n">
        <v>273</v>
      </c>
      <c r="B276" s="6" t="n">
        <v>6281.43</v>
      </c>
      <c r="C276" s="6" t="n">
        <v>1005.544022650534</v>
      </c>
      <c r="D276" s="6" t="n">
        <v>5275.885977349466</v>
      </c>
      <c r="E276" s="6" t="n">
        <v>155611.157646736</v>
      </c>
    </row>
    <row r="277">
      <c r="A277" t="n">
        <v>274</v>
      </c>
      <c r="B277" s="6" t="n">
        <v>6281.43</v>
      </c>
      <c r="C277" s="6" t="n">
        <v>972.5697352920998</v>
      </c>
      <c r="D277" s="6" t="n">
        <v>5308.860264707901</v>
      </c>
      <c r="E277" s="6" t="n">
        <v>150302.2973820281</v>
      </c>
    </row>
    <row r="278">
      <c r="A278" t="n">
        <v>275</v>
      </c>
      <c r="B278" s="6" t="n">
        <v>6281.43</v>
      </c>
      <c r="C278" s="6" t="n">
        <v>939.3893586376754</v>
      </c>
      <c r="D278" s="6" t="n">
        <v>5342.040641362325</v>
      </c>
      <c r="E278" s="6" t="n">
        <v>144960.2567406658</v>
      </c>
    </row>
    <row r="279">
      <c r="A279" t="n">
        <v>276</v>
      </c>
      <c r="B279" s="6" t="n">
        <v>6281.43</v>
      </c>
      <c r="C279" s="6" t="n">
        <v>906.001604629161</v>
      </c>
      <c r="D279" s="6" t="n">
        <v>5375.428395370839</v>
      </c>
      <c r="E279" s="6" t="n">
        <v>139584.8283452949</v>
      </c>
    </row>
    <row r="280">
      <c r="A280" t="n">
        <v>277</v>
      </c>
      <c r="B280" s="6" t="n">
        <v>6281.43</v>
      </c>
      <c r="C280" s="6" t="n">
        <v>872.4051771580932</v>
      </c>
      <c r="D280" s="6" t="n">
        <v>5409.024822841907</v>
      </c>
      <c r="E280" s="6" t="n">
        <v>134175.803522453</v>
      </c>
    </row>
    <row r="281">
      <c r="A281" t="n">
        <v>278</v>
      </c>
      <c r="B281" s="6" t="n">
        <v>6281.43</v>
      </c>
      <c r="C281" s="6" t="n">
        <v>838.5987720153314</v>
      </c>
      <c r="D281" s="6" t="n">
        <v>5442.831227984669</v>
      </c>
      <c r="E281" s="6" t="n">
        <v>128732.9722944684</v>
      </c>
    </row>
    <row r="282">
      <c r="A282" t="n">
        <v>279</v>
      </c>
      <c r="B282" s="6" t="n">
        <v>6281.43</v>
      </c>
      <c r="C282" s="6" t="n">
        <v>804.5810768404272</v>
      </c>
      <c r="D282" s="6" t="n">
        <v>5476.848923159573</v>
      </c>
      <c r="E282" s="6" t="n">
        <v>123256.1233713088</v>
      </c>
    </row>
    <row r="283">
      <c r="A283" t="n">
        <v>280</v>
      </c>
      <c r="B283" s="6" t="n">
        <v>6281.43</v>
      </c>
      <c r="C283" s="6" t="n">
        <v>770.3507710706798</v>
      </c>
      <c r="D283" s="6" t="n">
        <v>5511.07922892932</v>
      </c>
      <c r="E283" s="6" t="n">
        <v>117745.0441423795</v>
      </c>
    </row>
    <row r="284">
      <c r="A284" t="n">
        <v>281</v>
      </c>
      <c r="B284" s="6" t="n">
        <v>6281.43</v>
      </c>
      <c r="C284" s="6" t="n">
        <v>735.9065258898717</v>
      </c>
      <c r="D284" s="6" t="n">
        <v>5545.523474110129</v>
      </c>
      <c r="E284" s="6" t="n">
        <v>112199.5206682693</v>
      </c>
    </row>
    <row r="285">
      <c r="A285" t="n">
        <v>282</v>
      </c>
      <c r="B285" s="6" t="n">
        <v>6281.43</v>
      </c>
      <c r="C285" s="6" t="n">
        <v>701.2470041766833</v>
      </c>
      <c r="D285" s="6" t="n">
        <v>5580.182995823317</v>
      </c>
      <c r="E285" s="6" t="n">
        <v>106619.337672446</v>
      </c>
    </row>
    <row r="286">
      <c r="A286" t="n">
        <v>283</v>
      </c>
      <c r="B286" s="6" t="n">
        <v>6281.43</v>
      </c>
      <c r="C286" s="6" t="n">
        <v>666.3708604527876</v>
      </c>
      <c r="D286" s="6" t="n">
        <v>5615.059139547213</v>
      </c>
      <c r="E286" s="6" t="n">
        <v>101004.2785328988</v>
      </c>
    </row>
    <row r="287">
      <c r="A287" t="n">
        <v>284</v>
      </c>
      <c r="B287" s="6" t="n">
        <v>6281.43</v>
      </c>
      <c r="C287" s="6" t="n">
        <v>631.2767408306175</v>
      </c>
      <c r="D287" s="6" t="n">
        <v>5650.153259169383</v>
      </c>
      <c r="E287" s="6" t="n">
        <v>95354.12527372943</v>
      </c>
    </row>
    <row r="288">
      <c r="A288" t="n">
        <v>285</v>
      </c>
      <c r="B288" s="6" t="n">
        <v>6281.43</v>
      </c>
      <c r="C288" s="6" t="n">
        <v>595.9632829608089</v>
      </c>
      <c r="D288" s="6" t="n">
        <v>5685.466717039191</v>
      </c>
      <c r="E288" s="6" t="n">
        <v>89668.65855669024</v>
      </c>
    </row>
    <row r="289">
      <c r="A289" t="n">
        <v>286</v>
      </c>
      <c r="B289" s="6" t="n">
        <v>6281.43</v>
      </c>
      <c r="C289" s="6" t="n">
        <v>560.4291159793139</v>
      </c>
      <c r="D289" s="6" t="n">
        <v>5721.000884020686</v>
      </c>
      <c r="E289" s="6" t="n">
        <v>83947.65767266955</v>
      </c>
    </row>
    <row r="290">
      <c r="A290" t="n">
        <v>287</v>
      </c>
      <c r="B290" s="6" t="n">
        <v>6281.43</v>
      </c>
      <c r="C290" s="6" t="n">
        <v>524.6728604541846</v>
      </c>
      <c r="D290" s="6" t="n">
        <v>5756.757139545815</v>
      </c>
      <c r="E290" s="6" t="n">
        <v>78190.90053312373</v>
      </c>
    </row>
    <row r="291">
      <c r="A291" t="n">
        <v>288</v>
      </c>
      <c r="B291" s="6" t="n">
        <v>6281.43</v>
      </c>
      <c r="C291" s="6" t="n">
        <v>488.6931283320233</v>
      </c>
      <c r="D291" s="6" t="n">
        <v>5792.736871667977</v>
      </c>
      <c r="E291" s="6" t="n">
        <v>72398.16366145575</v>
      </c>
    </row>
    <row r="292">
      <c r="A292" t="n">
        <v>289</v>
      </c>
      <c r="B292" s="6" t="n">
        <v>6281.43</v>
      </c>
      <c r="C292" s="6" t="n">
        <v>452.4885228840984</v>
      </c>
      <c r="D292" s="6" t="n">
        <v>5828.941477115902</v>
      </c>
      <c r="E292" s="6" t="n">
        <v>66569.22218433984</v>
      </c>
    </row>
    <row r="293">
      <c r="A293" t="n">
        <v>290</v>
      </c>
      <c r="B293" s="6" t="n">
        <v>6281.43</v>
      </c>
      <c r="C293" s="6" t="n">
        <v>416.057638652124</v>
      </c>
      <c r="D293" s="6" t="n">
        <v>5865.372361347876</v>
      </c>
      <c r="E293" s="6" t="n">
        <v>60703.84982299196</v>
      </c>
    </row>
    <row r="294">
      <c r="A294" t="n">
        <v>291</v>
      </c>
      <c r="B294" s="6" t="n">
        <v>6281.43</v>
      </c>
      <c r="C294" s="6" t="n">
        <v>379.3990613936998</v>
      </c>
      <c r="D294" s="6" t="n">
        <v>5902.030938606301</v>
      </c>
      <c r="E294" s="6" t="n">
        <v>54801.81888438566</v>
      </c>
    </row>
    <row r="295">
      <c r="A295" t="n">
        <v>292</v>
      </c>
      <c r="B295" s="6" t="n">
        <v>6281.43</v>
      </c>
      <c r="C295" s="6" t="n">
        <v>342.5113680274104</v>
      </c>
      <c r="D295" s="6" t="n">
        <v>5938.91863197259</v>
      </c>
      <c r="E295" s="6" t="n">
        <v>48862.90025241307</v>
      </c>
    </row>
    <row r="296">
      <c r="A296" t="n">
        <v>293</v>
      </c>
      <c r="B296" s="6" t="n">
        <v>6281.43</v>
      </c>
      <c r="C296" s="6" t="n">
        <v>305.3931265775817</v>
      </c>
      <c r="D296" s="6" t="n">
        <v>5976.036873422418</v>
      </c>
      <c r="E296" s="6" t="n">
        <v>42886.86337899065</v>
      </c>
    </row>
    <row r="297">
      <c r="A297" t="n">
        <v>294</v>
      </c>
      <c r="B297" s="6" t="n">
        <v>6281.43</v>
      </c>
      <c r="C297" s="6" t="n">
        <v>268.0428961186915</v>
      </c>
      <c r="D297" s="6" t="n">
        <v>6013.387103881309</v>
      </c>
      <c r="E297" s="6" t="n">
        <v>36873.47627510934</v>
      </c>
    </row>
    <row r="298">
      <c r="A298" t="n">
        <v>295</v>
      </c>
      <c r="B298" s="6" t="n">
        <v>6281.43</v>
      </c>
      <c r="C298" s="6" t="n">
        <v>230.4592267194334</v>
      </c>
      <c r="D298" s="6" t="n">
        <v>6050.970773280567</v>
      </c>
      <c r="E298" s="6" t="n">
        <v>30822.50550182877</v>
      </c>
    </row>
    <row r="299">
      <c r="A299" t="n">
        <v>296</v>
      </c>
      <c r="B299" s="6" t="n">
        <v>6281.43</v>
      </c>
      <c r="C299" s="6" t="n">
        <v>192.6406593864298</v>
      </c>
      <c r="D299" s="6" t="n">
        <v>6088.789340613571</v>
      </c>
      <c r="E299" s="6" t="n">
        <v>24733.7161612152</v>
      </c>
    </row>
    <row r="300">
      <c r="A300" t="n">
        <v>297</v>
      </c>
      <c r="B300" s="6" t="n">
        <v>6281.43</v>
      </c>
      <c r="C300" s="6" t="n">
        <v>154.585726007595</v>
      </c>
      <c r="D300" s="6" t="n">
        <v>6126.844273992405</v>
      </c>
      <c r="E300" s="6" t="n">
        <v>18606.8718872228</v>
      </c>
    </row>
    <row r="301">
      <c r="A301" t="n">
        <v>298</v>
      </c>
      <c r="B301" s="6" t="n">
        <v>6281.43</v>
      </c>
      <c r="C301" s="6" t="n">
        <v>116.2929492951425</v>
      </c>
      <c r="D301" s="6" t="n">
        <v>6165.137050704858</v>
      </c>
      <c r="E301" s="6" t="n">
        <v>12441.73483651794</v>
      </c>
    </row>
    <row r="302">
      <c r="A302" t="n">
        <v>299</v>
      </c>
      <c r="B302" s="6" t="n">
        <v>6281.43</v>
      </c>
      <c r="C302" s="6" t="n">
        <v>77.76084272823712</v>
      </c>
      <c r="D302" s="6" t="n">
        <v>6203.669157271763</v>
      </c>
      <c r="E302" s="6" t="n">
        <v>6238.065679246178</v>
      </c>
    </row>
    <row r="303">
      <c r="A303" t="n">
        <v>300</v>
      </c>
      <c r="B303" s="6" t="n">
        <v>6281.43</v>
      </c>
      <c r="C303" s="6" t="n">
        <v>38.98791049528861</v>
      </c>
      <c r="D303" s="6" t="n">
        <v>6242.442089504711</v>
      </c>
      <c r="E303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SOURCES &amp; USES OF FUNDS</t>
        </is>
      </c>
    </row>
    <row r="3">
      <c r="A3" s="2" t="inlineStr">
        <is>
          <t>SOURCES:</t>
        </is>
      </c>
    </row>
    <row r="4">
      <c r="A4" t="inlineStr">
        <is>
          <t>New Loan</t>
        </is>
      </c>
      <c r="B4" s="3" t="n">
        <v>850000</v>
      </c>
    </row>
    <row r="5">
      <c r="A5" t="inlineStr">
        <is>
          <t>Total Sources</t>
        </is>
      </c>
      <c r="B5" s="4">
        <f>B4</f>
        <v/>
      </c>
    </row>
    <row r="7">
      <c r="A7" s="2" t="inlineStr">
        <is>
          <t>USES:</t>
        </is>
      </c>
    </row>
    <row r="8">
      <c r="A8" t="inlineStr">
        <is>
          <t>Existing Debt Payoff</t>
        </is>
      </c>
      <c r="B8" s="3" t="n">
        <v>150000</v>
      </c>
    </row>
    <row r="9">
      <c r="A9" t="inlineStr">
        <is>
          <t>Amenities &amp; Jobsite</t>
        </is>
      </c>
      <c r="B9" s="3" t="n">
        <v>100000</v>
      </c>
    </row>
    <row r="10">
      <c r="A10" t="inlineStr">
        <is>
          <t>Room Renovation (40 rooms)</t>
        </is>
      </c>
      <c r="B10" s="3" t="n">
        <v>600000</v>
      </c>
    </row>
    <row r="11">
      <c r="A11" t="inlineStr">
        <is>
          <t>Total Uses</t>
        </is>
      </c>
      <c r="B11" s="4">
        <f>SUM(B8:B10)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2026-05-04T18:21:20Z</dcterms:created>
  <dcterms:modified xsi:type="dcterms:W3CDTF">2026-05-04T18:21:20Z</dcterms:modified>
</cp:coreProperties>
</file>