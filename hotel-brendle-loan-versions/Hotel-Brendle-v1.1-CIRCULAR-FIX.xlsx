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10-Year Monthly Projections" sheetId="4" state="visible" r:id="rId4"/>
    <sheet name="Annual Summary" sheetId="5" state="visible" r:id="rId5"/>
    <sheet name="Sources &amp; Uses" sheetId="6" state="visible" r:id="rId6"/>
    <sheet name="Debt Service Schedule" sheetId="7" state="visible" r:id="rId7"/>
    <sheet name="Property Valuation" sheetId="8" state="visible" r:id="rId8"/>
    <sheet name="Laundry Revenu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- CASH-OUT REFINANCE REQUEST</t>
        </is>
      </c>
    </row>
    <row r="2">
      <c r="A2" t="inlineStr">
        <is>
          <t>Prepared: May 04, 2026</t>
        </is>
      </c>
    </row>
    <row r="4">
      <c r="A4" s="2" t="inlineStr">
        <is>
          <t>PROPERTY INFORMATION</t>
        </is>
      </c>
    </row>
    <row r="5">
      <c r="A5" t="inlineStr">
        <is>
          <t>Address:</t>
        </is>
      </c>
      <c r="B5" t="inlineStr">
        <is>
          <t>601 E Ave A, Robstown, TX 78380</t>
        </is>
      </c>
    </row>
    <row r="6">
      <c r="A6" t="inlineStr">
        <is>
          <t>Property Type:</t>
        </is>
      </c>
      <c r="B6" t="inlineStr">
        <is>
          <t>Historic Hotel - Extended Stay</t>
        </is>
      </c>
    </row>
    <row r="7">
      <c r="A7" t="inlineStr">
        <is>
          <t>Total Rooms:</t>
        </is>
      </c>
      <c r="B7" t="n">
        <v>67</v>
      </c>
    </row>
    <row r="8">
      <c r="A8" t="inlineStr">
        <is>
          <t>Currently Available:</t>
        </is>
      </c>
      <c r="B8" t="n">
        <v>24</v>
      </c>
    </row>
    <row r="9">
      <c r="A9" t="inlineStr">
        <is>
          <t>Currently Occupied:</t>
        </is>
      </c>
      <c r="B9" t="n">
        <v>18</v>
      </c>
    </row>
    <row r="10">
      <c r="A10" t="inlineStr">
        <is>
          <t>To Be Renovated:</t>
        </is>
      </c>
      <c r="B10" t="n">
        <v>43</v>
      </c>
    </row>
    <row r="11">
      <c r="A11" t="inlineStr">
        <is>
          <t>Renovation Timeline:</t>
        </is>
      </c>
      <c r="B11" t="inlineStr">
        <is>
          <t>6 months</t>
        </is>
      </c>
    </row>
    <row r="13">
      <c r="A13" s="2" t="inlineStr">
        <is>
          <t>LOAN REQUEST</t>
        </is>
      </c>
    </row>
    <row r="14">
      <c r="A14" t="inlineStr">
        <is>
          <t>Amount Requested:</t>
        </is>
      </c>
      <c r="B14" s="3" t="n">
        <v>850000</v>
      </c>
    </row>
    <row r="16">
      <c r="A16" s="4" t="inlineStr">
        <is>
          <t>USE OF PROCEEDS</t>
        </is>
      </c>
    </row>
    <row r="17">
      <c r="A17" t="inlineStr">
        <is>
          <t>Existing Debt Payoff</t>
        </is>
      </c>
      <c r="B17" s="5" t="n">
        <v>150000</v>
      </c>
    </row>
    <row r="18">
      <c r="A18" t="inlineStr">
        <is>
          <t>Renovation &amp; Amenities (43 rooms)</t>
        </is>
      </c>
      <c r="B18" s="5">
        <f>'Sources &amp; Uses'!B9</f>
        <v/>
      </c>
    </row>
    <row r="19">
      <c r="A19" t="inlineStr">
        <is>
          <t>Contingency</t>
        </is>
      </c>
      <c r="B19" s="5">
        <f>'Sources &amp; Uses'!B10</f>
        <v/>
      </c>
    </row>
    <row r="20">
      <c r="A20" s="4" t="inlineStr">
        <is>
          <t>Total Uses</t>
        </is>
      </c>
      <c r="B20" s="3">
        <f>'Sources &amp; Uses'!B11</f>
        <v/>
      </c>
    </row>
    <row r="22">
      <c r="A22" s="2" t="inlineStr">
        <is>
          <t>LOAN TERMS</t>
        </is>
      </c>
    </row>
    <row r="23">
      <c r="A23" t="inlineStr">
        <is>
          <t>Interest Rate:</t>
        </is>
      </c>
      <c r="B23" s="6" t="n">
        <v>0.075</v>
      </c>
    </row>
    <row r="24">
      <c r="A24" t="inlineStr">
        <is>
          <t>Amortization:</t>
        </is>
      </c>
      <c r="B24" t="inlineStr">
        <is>
          <t>25 years</t>
        </is>
      </c>
    </row>
    <row r="25">
      <c r="A25" t="inlineStr">
        <is>
          <t>Monthly Payment (P&amp;I):</t>
        </is>
      </c>
      <c r="B25" s="7" t="n">
        <v>6281.43</v>
      </c>
    </row>
    <row r="26">
      <c r="A26" t="inlineStr">
        <is>
          <t>Annual Debt Service:</t>
        </is>
      </c>
      <c r="B26" s="5">
        <f>B$B25*12</f>
        <v/>
      </c>
    </row>
    <row r="28">
      <c r="A28" s="2" t="inlineStr">
        <is>
          <t>CURRENT OPERATIONS (April 2026)</t>
        </is>
      </c>
    </row>
    <row r="29">
      <c r="A29" t="inlineStr">
        <is>
          <t>Occupied Rooms:</t>
        </is>
      </c>
      <c r="B29" t="n">
        <v>18</v>
      </c>
    </row>
    <row r="30">
      <c r="A30" t="inlineStr">
        <is>
          <t>Monthly Revenue:</t>
        </is>
      </c>
      <c r="B30" s="5" t="n">
        <v>15340</v>
      </c>
    </row>
    <row r="31">
      <c r="A31" t="inlineStr">
        <is>
          <t>Annual NOI:</t>
        </is>
      </c>
      <c r="B31" s="5">
        <f>'Current Operations'!B25</f>
        <v/>
      </c>
    </row>
    <row r="33">
      <c r="A33" s="2" t="inlineStr">
        <is>
          <t>STABILIZED PROJECTIONS (Year 3)</t>
        </is>
      </c>
    </row>
    <row r="34">
      <c r="A34" t="inlineStr">
        <is>
          <t>Stabilized Occupancy:</t>
        </is>
      </c>
      <c r="B34" s="16" t="n">
        <v>0.8</v>
      </c>
    </row>
    <row r="35">
      <c r="A35" t="inlineStr">
        <is>
          <t>Stabilized Occupied Rooms:</t>
        </is>
      </c>
      <c r="B35" s="15">
        <f>67*B$34</f>
        <v/>
      </c>
    </row>
    <row r="36">
      <c r="A36" t="inlineStr">
        <is>
          <t>Annual Gross Revenue:</t>
        </is>
      </c>
      <c r="B36" s="5">
        <f>'Annual Summary'!B6</f>
        <v/>
      </c>
    </row>
    <row r="37">
      <c r="A37" t="inlineStr">
        <is>
          <t>Annual Operating Expenses:</t>
        </is>
      </c>
      <c r="B37" s="5">
        <f>'Annual Summary'!C6</f>
        <v/>
      </c>
    </row>
    <row r="38">
      <c r="A38" t="inlineStr">
        <is>
          <t>Stabilized NOI:</t>
        </is>
      </c>
      <c r="B38" s="3">
        <f>'Annual Summary'!D6</f>
        <v/>
      </c>
    </row>
    <row r="39">
      <c r="A39" t="inlineStr">
        <is>
          <t>DSCR:</t>
        </is>
      </c>
      <c r="B39" s="17">
        <f>'Annual Summary'!G6</f>
        <v/>
      </c>
    </row>
    <row r="41">
      <c r="A41" s="2" t="inlineStr">
        <is>
          <t>PROPERTY VALUATION</t>
        </is>
      </c>
    </row>
    <row r="42">
      <c r="A42" t="inlineStr">
        <is>
          <t>Stabilized Value (Year 3, 10% cap):</t>
        </is>
      </c>
      <c r="B42" s="5">
        <f>'Property Valuation'!B11</f>
        <v/>
      </c>
    </row>
    <row r="43">
      <c r="A43" t="inlineStr">
        <is>
          <t>Loan Amount:</t>
        </is>
      </c>
      <c r="B43" s="5" t="n">
        <v>850000</v>
      </c>
    </row>
    <row r="44">
      <c r="A44" t="inlineStr">
        <is>
          <t>Loan-to-Value (LTV):</t>
        </is>
      </c>
      <c r="B44" s="10">
        <f>'Property Valuation'!B16</f>
        <v/>
      </c>
    </row>
    <row r="45">
      <c r="A45" t="inlineStr">
        <is>
          <t>Owner Equity:</t>
        </is>
      </c>
      <c r="B45" s="5">
        <f>'Property Valuation'!B17</f>
        <v/>
      </c>
    </row>
    <row r="47">
      <c r="A47" s="2" t="inlineStr">
        <is>
          <t>REVENUE SOURCES</t>
        </is>
      </c>
    </row>
    <row r="48">
      <c r="A48" t="inlineStr">
        <is>
          <t>Room Rental Income</t>
        </is>
      </c>
    </row>
    <row r="49">
      <c r="A49" t="inlineStr">
        <is>
          <t>Laundry Revenue (6 washers, 6 dryers)</t>
        </is>
      </c>
    </row>
    <row r="50">
      <c r="A50" t="inlineStr">
        <is>
          <t xml:space="preserve">  - 1.0 load per occupied room per week</t>
        </is>
      </c>
    </row>
    <row r="51">
      <c r="A51" t="inlineStr">
        <is>
          <t xml:space="preserve">  - $4.50 per load (wash + dry)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2"/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8"/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2026-05-04T20:27:01Z</dcterms:modified>
</cp:coreProperties>
</file>