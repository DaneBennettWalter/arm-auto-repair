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Renovation Budget Detail" sheetId="2" state="visible" r:id="rId2"/>
    <sheet name="Current Operations" sheetId="3" state="visible" r:id="rId3"/>
    <sheet name="Historical Rent Roll" sheetId="4" state="visible" r:id="rId4"/>
    <sheet name="Renovation Schedule" sheetId="5" state="visible" r:id="rId5"/>
    <sheet name="10-Year Monthly Projections" sheetId="6" state="visible" r:id="rId6"/>
    <sheet name="Annual Summary" sheetId="7" state="visible" r:id="rId7"/>
    <sheet name="Sources &amp; Uses" sheetId="8" state="visible" r:id="rId8"/>
    <sheet name="Debt Service Schedule" sheetId="9" state="visible" r:id="rId9"/>
    <sheet name="Property Valuation" sheetId="10" state="visible" r:id="rId10"/>
    <sheet name="Sensitivity Analysis" sheetId="11" state="visible" r:id="rId11"/>
    <sheet name="Assumptions &amp; Notes" sheetId="12" state="visible" r:id="rId12"/>
    <sheet name="Laundry Revenu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"/>
    <numFmt numFmtId="165" formatCode="$#,##0.00"/>
    <numFmt numFmtId="166" formatCode="0.00x"/>
    <numFmt numFmtId="167" formatCode="0.0%"/>
    <numFmt numFmtId="168" formatCode="0.0"/>
  </numFmts>
  <fonts count="8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</font>
    <font>
      <b val="1"/>
      <sz val="14"/>
    </font>
    <font>
      <i val="1"/>
      <sz val="11"/>
    </font>
    <font>
      <i val="1"/>
    </font>
    <font>
      <b val="1"/>
      <color rgb="00008000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3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4" fillId="0" borderId="0" pivotButton="0" quotePrefix="0" xfId="0"/>
    <xf numFmtId="167" fontId="0" fillId="0" borderId="0" pivotButton="0" quotePrefix="0" xfId="0"/>
    <xf numFmtId="2" fontId="0" fillId="0" borderId="0" pivotButton="0" quotePrefix="0" xfId="0"/>
    <xf numFmtId="165" fontId="3" fillId="0" borderId="0" pivotButton="0" quotePrefix="0" xfId="0"/>
    <xf numFmtId="164" fontId="2" fillId="0" borderId="0" pivotButton="0" quotePrefix="0" xfId="0"/>
    <xf numFmtId="168" fontId="0" fillId="0" borderId="0" pivotButton="0" quotePrefix="0" xfId="0"/>
    <xf numFmtId="1" fontId="0" fillId="0" borderId="0" pivotButton="0" quotePrefix="0" xfId="0"/>
    <xf numFmtId="9" fontId="0" fillId="0" borderId="0" pivotButton="0" quotePrefix="0" xfId="0"/>
    <xf numFmtId="166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2" borderId="0" pivotButton="0" quotePrefix="0" xfId="0"/>
    <xf numFmtId="9" fontId="0" fillId="2" borderId="0" pivotButton="0" quotePrefix="0" xfId="0"/>
    <xf numFmtId="164" fontId="0" fillId="2" borderId="0" pivotButton="0" quotePrefix="0" xfId="0"/>
    <xf numFmtId="2" fontId="0" fillId="2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 BRENDLE - CASH-OUT REFINANCE REQUEST</t>
        </is>
      </c>
    </row>
    <row r="2">
      <c r="A2" t="inlineStr">
        <is>
          <t>Prepared: May 04, 2026</t>
        </is>
      </c>
    </row>
    <row r="4">
      <c r="A4" s="2" t="inlineStr">
        <is>
          <t>PROPERTY INFORMATION</t>
        </is>
      </c>
    </row>
    <row r="5">
      <c r="A5" t="inlineStr">
        <is>
          <t>Address:</t>
        </is>
      </c>
      <c r="B5" t="inlineStr">
        <is>
          <t>601 E Ave A, Robstown, TX 78380</t>
        </is>
      </c>
    </row>
    <row r="6">
      <c r="A6" t="inlineStr">
        <is>
          <t>Property Type:</t>
        </is>
      </c>
      <c r="B6" t="inlineStr">
        <is>
          <t>Historic Hotel - Extended Stay</t>
        </is>
      </c>
    </row>
    <row r="7">
      <c r="A7" t="inlineStr">
        <is>
          <t>Total Rooms:</t>
        </is>
      </c>
      <c r="B7" t="n">
        <v>67</v>
      </c>
    </row>
    <row r="8">
      <c r="A8" t="inlineStr">
        <is>
          <t>Currently Available:</t>
        </is>
      </c>
      <c r="B8" t="n">
        <v>24</v>
      </c>
    </row>
    <row r="9">
      <c r="A9" t="inlineStr">
        <is>
          <t>Currently Occupied:</t>
        </is>
      </c>
      <c r="B9" t="n">
        <v>18</v>
      </c>
    </row>
    <row r="10">
      <c r="A10" t="inlineStr">
        <is>
          <t>To Be Renovated:</t>
        </is>
      </c>
      <c r="B10" t="n">
        <v>43</v>
      </c>
    </row>
    <row r="11">
      <c r="A11" t="inlineStr">
        <is>
          <t>Renovation Timeline:</t>
        </is>
      </c>
      <c r="B11" t="inlineStr">
        <is>
          <t>6 months</t>
        </is>
      </c>
    </row>
    <row r="13">
      <c r="A13" s="2" t="inlineStr">
        <is>
          <t>LOAN REQUEST</t>
        </is>
      </c>
    </row>
    <row r="14">
      <c r="A14" t="inlineStr">
        <is>
          <t>Amount Requested:</t>
        </is>
      </c>
      <c r="B14" s="3" t="n">
        <v>850000</v>
      </c>
    </row>
    <row r="16">
      <c r="A16" s="4" t="inlineStr">
        <is>
          <t>USE OF PROCEEDS</t>
        </is>
      </c>
    </row>
    <row r="17">
      <c r="A17" t="inlineStr">
        <is>
          <t>Existing Debt Payoff</t>
        </is>
      </c>
      <c r="B17" s="5" t="n">
        <v>150000</v>
      </c>
    </row>
    <row r="18">
      <c r="A18" t="inlineStr">
        <is>
          <t>Renovation &amp; Amenities (43 rooms)</t>
        </is>
      </c>
      <c r="B18" s="5">
        <f>'Sources &amp; Uses'!B9</f>
        <v/>
      </c>
    </row>
    <row r="19">
      <c r="A19" t="inlineStr">
        <is>
          <t>Contingency</t>
        </is>
      </c>
      <c r="B19" s="5">
        <f>'Sources &amp; Uses'!B10</f>
        <v/>
      </c>
    </row>
    <row r="20">
      <c r="A20" s="4" t="inlineStr">
        <is>
          <t>Total Uses</t>
        </is>
      </c>
      <c r="B20" s="3">
        <f>'Sources &amp; Uses'!B11</f>
        <v/>
      </c>
    </row>
    <row r="22">
      <c r="A22" s="2" t="inlineStr">
        <is>
          <t>LOAN TERMS</t>
        </is>
      </c>
    </row>
    <row r="23">
      <c r="A23" t="inlineStr">
        <is>
          <t>Interest Rate:</t>
        </is>
      </c>
      <c r="B23" s="6" t="n">
        <v>0.075</v>
      </c>
    </row>
    <row r="24">
      <c r="A24" t="inlineStr">
        <is>
          <t>Amortization:</t>
        </is>
      </c>
      <c r="B24" t="inlineStr">
        <is>
          <t>25 years</t>
        </is>
      </c>
    </row>
    <row r="25">
      <c r="A25" t="inlineStr">
        <is>
          <t>Monthly Payment (P&amp;I):</t>
        </is>
      </c>
      <c r="B25" s="7" t="n">
        <v>6281.43</v>
      </c>
    </row>
    <row r="26">
      <c r="A26" t="inlineStr">
        <is>
          <t>Annual Debt Service:</t>
        </is>
      </c>
      <c r="B26" s="5">
        <f>B$B25*12</f>
        <v/>
      </c>
    </row>
    <row r="28">
      <c r="A28" s="2" t="inlineStr">
        <is>
          <t>CURRENT OPERATIONS (April 2026)</t>
        </is>
      </c>
    </row>
    <row r="29">
      <c r="A29" t="inlineStr">
        <is>
          <t>Occupied Rooms:</t>
        </is>
      </c>
      <c r="B29" t="n">
        <v>18</v>
      </c>
    </row>
    <row r="30">
      <c r="A30" t="inlineStr">
        <is>
          <t>Monthly Revenue:</t>
        </is>
      </c>
      <c r="B30" s="5" t="n">
        <v>15340</v>
      </c>
    </row>
    <row r="31">
      <c r="A31" t="inlineStr">
        <is>
          <t>Annual NOI:</t>
        </is>
      </c>
      <c r="B31" s="5">
        <f>'Current Operations'!B25</f>
        <v/>
      </c>
    </row>
    <row r="33">
      <c r="A33" s="2" t="inlineStr">
        <is>
          <t>STABILIZED PROJECTIONS (Year 3)</t>
        </is>
      </c>
    </row>
    <row r="34">
      <c r="A34" t="inlineStr">
        <is>
          <t>Stabilized Occupancy:</t>
        </is>
      </c>
      <c r="B34" s="16" t="n">
        <v>0.8</v>
      </c>
    </row>
    <row r="35">
      <c r="A35" t="inlineStr">
        <is>
          <t>Stabilized Occupied Rooms:</t>
        </is>
      </c>
      <c r="B35" s="15">
        <f>67*B$34</f>
        <v/>
      </c>
    </row>
    <row r="36">
      <c r="A36" t="inlineStr">
        <is>
          <t>Annual Gross Revenue:</t>
        </is>
      </c>
      <c r="B36" s="5">
        <f>'Annual Summary'!B6</f>
        <v/>
      </c>
    </row>
    <row r="37">
      <c r="A37" t="inlineStr">
        <is>
          <t>Annual Operating Expenses:</t>
        </is>
      </c>
      <c r="B37" s="5">
        <f>'Annual Summary'!C6</f>
        <v/>
      </c>
    </row>
    <row r="38">
      <c r="A38" t="inlineStr">
        <is>
          <t>Stabilized NOI:</t>
        </is>
      </c>
      <c r="B38" s="3">
        <f>'Annual Summary'!D6</f>
        <v/>
      </c>
    </row>
    <row r="39">
      <c r="A39" t="inlineStr">
        <is>
          <t>DSCR:</t>
        </is>
      </c>
      <c r="B39" s="17">
        <f>'Annual Summary'!G6</f>
        <v/>
      </c>
    </row>
    <row r="41">
      <c r="A41" s="2" t="inlineStr">
        <is>
          <t>PROPERTY VALUATION</t>
        </is>
      </c>
    </row>
    <row r="42">
      <c r="A42" t="inlineStr">
        <is>
          <t>Stabilized Value (Year 3, 10% cap):</t>
        </is>
      </c>
      <c r="B42" s="5">
        <f>'Property Valuation'!B11</f>
        <v/>
      </c>
    </row>
    <row r="43">
      <c r="A43" t="inlineStr">
        <is>
          <t>Loan Amount:</t>
        </is>
      </c>
      <c r="B43" s="5" t="n">
        <v>850000</v>
      </c>
    </row>
    <row r="44">
      <c r="A44" t="inlineStr">
        <is>
          <t>Loan-to-Value (LTV):</t>
        </is>
      </c>
      <c r="B44" s="10">
        <f>'Property Valuation'!B16</f>
        <v/>
      </c>
    </row>
    <row r="45">
      <c r="A45" t="inlineStr">
        <is>
          <t>Owner Equity:</t>
        </is>
      </c>
      <c r="B45" s="5">
        <f>'Property Valuation'!B17</f>
        <v/>
      </c>
    </row>
    <row r="47">
      <c r="A47" s="2" t="inlineStr">
        <is>
          <t>REVENUE SOURCES</t>
        </is>
      </c>
    </row>
    <row r="48">
      <c r="A48" t="inlineStr">
        <is>
          <t>Room Rental Income</t>
        </is>
      </c>
    </row>
    <row r="49">
      <c r="A49" t="inlineStr">
        <is>
          <t>Laundry Revenue (6 washers, 6 dryers)</t>
        </is>
      </c>
    </row>
    <row r="50">
      <c r="A50" t="inlineStr">
        <is>
          <t xml:space="preserve">  - 1.0 load per occupied room per week</t>
        </is>
      </c>
    </row>
    <row r="51">
      <c r="A51" t="inlineStr">
        <is>
          <t xml:space="preserve">  - $4.50 per load (wash + dry)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RENOVATION BUDGET - LINE ITEM DETAIL</t>
        </is>
      </c>
    </row>
    <row r="3">
      <c r="A3" s="2" t="inlineStr">
        <is>
          <t>LIGHT RENOVATION (7 rooms @ $1,217/room)</t>
        </is>
      </c>
    </row>
    <row r="4">
      <c r="A4" s="4" t="inlineStr">
        <is>
          <t>Item</t>
        </is>
      </c>
      <c r="B4" s="4" t="inlineStr">
        <is>
          <t>Quantity</t>
        </is>
      </c>
      <c r="C4" s="4" t="inlineStr">
        <is>
          <t>Unit</t>
        </is>
      </c>
      <c r="D4" s="4" t="inlineStr">
        <is>
          <t>Unit Cost</t>
        </is>
      </c>
      <c r="E4" s="4" t="inlineStr">
        <is>
          <t>Extended</t>
        </is>
      </c>
      <c r="F4" s="4" t="inlineStr">
        <is>
          <t>Total</t>
        </is>
      </c>
    </row>
    <row r="5">
      <c r="A5" t="inlineStr">
        <is>
          <t>Paint - Primer</t>
        </is>
      </c>
      <c r="B5" t="n">
        <v>2</v>
      </c>
      <c r="C5" t="inlineStr">
        <is>
          <t>gallon</t>
        </is>
      </c>
      <c r="D5" s="7" t="n">
        <v>35</v>
      </c>
      <c r="E5" s="7">
        <f>B5*D5</f>
        <v/>
      </c>
    </row>
    <row r="6">
      <c r="A6" t="inlineStr">
        <is>
          <t>Paint - Finish</t>
        </is>
      </c>
      <c r="B6" t="n">
        <v>4</v>
      </c>
      <c r="C6" t="inlineStr">
        <is>
          <t>gallon</t>
        </is>
      </c>
      <c r="D6" s="7" t="n">
        <v>45</v>
      </c>
      <c r="E6" s="7">
        <f>B6*D6</f>
        <v/>
      </c>
    </row>
    <row r="7">
      <c r="A7" t="inlineStr">
        <is>
          <t>Floor Sander Rental</t>
        </is>
      </c>
      <c r="B7" t="n">
        <v>0.33</v>
      </c>
      <c r="C7" t="inlineStr">
        <is>
          <t>day</t>
        </is>
      </c>
      <c r="D7" s="7" t="n">
        <v>90</v>
      </c>
      <c r="E7" s="7">
        <f>B7*D7</f>
        <v/>
      </c>
    </row>
    <row r="8">
      <c r="A8" t="inlineStr">
        <is>
          <t>Floor Stain</t>
        </is>
      </c>
      <c r="B8" t="n">
        <v>1.5</v>
      </c>
      <c r="C8" t="inlineStr">
        <is>
          <t>gallon</t>
        </is>
      </c>
      <c r="D8" s="7" t="n">
        <v>50</v>
      </c>
      <c r="E8" s="7">
        <f>B8*D8</f>
        <v/>
      </c>
    </row>
    <row r="9">
      <c r="A9" t="inlineStr">
        <is>
          <t>Polyurethane</t>
        </is>
      </c>
      <c r="B9" t="n">
        <v>1</v>
      </c>
      <c r="C9" t="inlineStr">
        <is>
          <t>gallon</t>
        </is>
      </c>
      <c r="D9" s="7" t="n">
        <v>60</v>
      </c>
      <c r="E9" s="7">
        <f>B9*D9</f>
        <v/>
      </c>
    </row>
    <row r="10">
      <c r="A10" t="inlineStr">
        <is>
          <t>Sandpaper/Supplies</t>
        </is>
      </c>
      <c r="B10" t="n">
        <v>1</v>
      </c>
      <c r="C10" t="inlineStr">
        <is>
          <t>lot</t>
        </is>
      </c>
      <c r="D10" s="7" t="n">
        <v>30</v>
      </c>
      <c r="E10" s="7">
        <f>B10*D10</f>
        <v/>
      </c>
    </row>
    <row r="11">
      <c r="A11" t="inlineStr">
        <is>
          <t>Drywall Sheet</t>
        </is>
      </c>
      <c r="B11" t="n">
        <v>1</v>
      </c>
      <c r="C11" t="inlineStr">
        <is>
          <t>sheet</t>
        </is>
      </c>
      <c r="D11" s="7" t="n">
        <v>13</v>
      </c>
      <c r="E11" s="7">
        <f>B11*D11</f>
        <v/>
      </c>
    </row>
    <row r="12">
      <c r="A12" t="inlineStr">
        <is>
          <t>Joint Compound</t>
        </is>
      </c>
      <c r="B12" t="n">
        <v>1</v>
      </c>
      <c r="C12" t="inlineStr">
        <is>
          <t>bucket</t>
        </is>
      </c>
      <c r="D12" s="7" t="n">
        <v>18</v>
      </c>
      <c r="E12" s="7">
        <f>B12*D12</f>
        <v/>
      </c>
    </row>
    <row r="13">
      <c r="A13" t="inlineStr">
        <is>
          <t>Drywall Tape/Supplies</t>
        </is>
      </c>
      <c r="B13" t="n">
        <v>1</v>
      </c>
      <c r="C13" t="inlineStr">
        <is>
          <t>lot</t>
        </is>
      </c>
      <c r="D13" s="7" t="n">
        <v>15</v>
      </c>
      <c r="E13" s="7">
        <f>B13*D13</f>
        <v/>
      </c>
    </row>
    <row r="14">
      <c r="A14" t="inlineStr">
        <is>
          <t>Light Fixtures</t>
        </is>
      </c>
      <c r="B14" t="n">
        <v>2</v>
      </c>
      <c r="C14" t="inlineStr">
        <is>
          <t>each</t>
        </is>
      </c>
      <c r="D14" s="7" t="n">
        <v>40</v>
      </c>
      <c r="E14" s="7">
        <f>B14*D14</f>
        <v/>
      </c>
    </row>
    <row r="15">
      <c r="A15" t="inlineStr">
        <is>
          <t>Plumbing Repair Parts</t>
        </is>
      </c>
      <c r="B15" t="n">
        <v>1</v>
      </c>
      <c r="C15" t="inlineStr">
        <is>
          <t>lot</t>
        </is>
      </c>
      <c r="D15" s="7" t="n">
        <v>50</v>
      </c>
      <c r="E15" s="7">
        <f>B15*D15</f>
        <v/>
      </c>
    </row>
    <row r="16">
      <c r="A16" t="inlineStr">
        <is>
          <t>Door Lockset</t>
        </is>
      </c>
      <c r="B16" t="n">
        <v>1</v>
      </c>
      <c r="C16" t="inlineStr">
        <is>
          <t>each</t>
        </is>
      </c>
      <c r="D16" s="7" t="n">
        <v>35</v>
      </c>
      <c r="E16" s="7">
        <f>B16*D16</f>
        <v/>
      </c>
    </row>
    <row r="17">
      <c r="A17" s="4" t="inlineStr">
        <is>
          <t>Materials Subtotal (per room)</t>
        </is>
      </c>
      <c r="E17" s="12">
        <f>SUM(E5:E16)</f>
        <v/>
      </c>
      <c r="F17" s="3">
        <f>E17*7</f>
        <v/>
      </c>
    </row>
    <row r="19">
      <c r="A19" s="4" t="inlineStr">
        <is>
          <t>LABOR - Light Renovation (per room)</t>
        </is>
      </c>
    </row>
    <row r="20">
      <c r="A20" s="4" t="inlineStr">
        <is>
          <t>Task</t>
        </is>
      </c>
      <c r="B20" s="4" t="inlineStr">
        <is>
          <t>Hours</t>
        </is>
      </c>
      <c r="C20" s="4" t="inlineStr">
        <is>
          <t>Rate/Hr</t>
        </is>
      </c>
      <c r="D20" s="4" t="inlineStr">
        <is>
          <t>Unit Cost</t>
        </is>
      </c>
      <c r="E20" s="4" t="inlineStr">
        <is>
          <t>Extended</t>
        </is>
      </c>
      <c r="F20" s="4" t="inlineStr">
        <is>
          <t>Total</t>
        </is>
      </c>
    </row>
    <row r="21">
      <c r="A21" t="inlineStr">
        <is>
          <t>Floor prep/sand/stain</t>
        </is>
      </c>
      <c r="B21" t="n">
        <v>8</v>
      </c>
      <c r="C21" s="7" t="n">
        <v>22</v>
      </c>
      <c r="E21" s="7">
        <f>B21*C21</f>
        <v/>
      </c>
    </row>
    <row r="22">
      <c r="A22" t="inlineStr">
        <is>
          <t>Paint (prep + 2 coats)</t>
        </is>
      </c>
      <c r="B22" t="n">
        <v>12</v>
      </c>
      <c r="C22" s="7" t="n">
        <v>22</v>
      </c>
      <c r="E22" s="7">
        <f>B22*C22</f>
        <v/>
      </c>
    </row>
    <row r="23">
      <c r="A23" t="inlineStr">
        <is>
          <t>Drywall repair</t>
        </is>
      </c>
      <c r="B23" t="n">
        <v>3</v>
      </c>
      <c r="C23" s="7" t="n">
        <v>22</v>
      </c>
      <c r="E23" s="7">
        <f>B23*C23</f>
        <v/>
      </c>
    </row>
    <row r="24">
      <c r="A24" t="inlineStr">
        <is>
          <t>Plumbing touchup</t>
        </is>
      </c>
      <c r="B24" t="n">
        <v>1</v>
      </c>
      <c r="C24" s="7" t="n">
        <v>22</v>
      </c>
      <c r="E24" s="7">
        <f>B24*C24</f>
        <v/>
      </c>
    </row>
    <row r="25">
      <c r="A25" t="inlineStr">
        <is>
          <t>Electrical</t>
        </is>
      </c>
      <c r="B25" t="n">
        <v>1</v>
      </c>
      <c r="C25" s="7" t="n">
        <v>22</v>
      </c>
      <c r="E25" s="7">
        <f>B25*C25</f>
        <v/>
      </c>
    </row>
    <row r="26">
      <c r="A26" t="inlineStr">
        <is>
          <t>Install hardware</t>
        </is>
      </c>
      <c r="B26" t="n">
        <v>0.5</v>
      </c>
      <c r="C26" s="7" t="n">
        <v>22</v>
      </c>
      <c r="E26" s="7">
        <f>B26*C26</f>
        <v/>
      </c>
    </row>
    <row r="27">
      <c r="A27" s="4" t="inlineStr">
        <is>
          <t>Labor Subtotal (per room)</t>
        </is>
      </c>
      <c r="E27" s="12">
        <f>SUM(E21:E26)</f>
        <v/>
      </c>
      <c r="F27" s="3">
        <f>E27*7</f>
        <v/>
      </c>
    </row>
    <row r="29">
      <c r="A29" s="2" t="inlineStr">
        <is>
          <t>LIGHT RENOVATION TOTAL</t>
        </is>
      </c>
      <c r="E29" s="12">
        <f>E17+E27</f>
        <v/>
      </c>
      <c r="F29" s="3">
        <f>F17+F27</f>
        <v/>
      </c>
    </row>
    <row r="32">
      <c r="A32" s="2" t="inlineStr">
        <is>
          <t>FULL RENOVATION (36 rooms @ $8,273/room)</t>
        </is>
      </c>
    </row>
    <row r="33">
      <c r="A33" s="4" t="inlineStr">
        <is>
          <t>Item</t>
        </is>
      </c>
      <c r="B33" s="4" t="inlineStr">
        <is>
          <t>Quantity</t>
        </is>
      </c>
      <c r="C33" s="4" t="inlineStr">
        <is>
          <t>Unit</t>
        </is>
      </c>
      <c r="D33" s="4" t="inlineStr">
        <is>
          <t>Unit Cost</t>
        </is>
      </c>
      <c r="E33" s="4" t="inlineStr">
        <is>
          <t>Extended</t>
        </is>
      </c>
      <c r="F33" s="4" t="inlineStr">
        <is>
          <t>Total</t>
        </is>
      </c>
    </row>
    <row r="34">
      <c r="A34" t="inlineStr">
        <is>
          <t>Drywall 4x8 Sheet</t>
        </is>
      </c>
      <c r="B34" t="n">
        <v>19</v>
      </c>
      <c r="C34" t="inlineStr">
        <is>
          <t>sheet</t>
        </is>
      </c>
      <c r="D34" s="7" t="n">
        <v>13</v>
      </c>
      <c r="E34" s="7">
        <f>B34*D34</f>
        <v/>
      </c>
    </row>
    <row r="35">
      <c r="A35" t="inlineStr">
        <is>
          <t>Joint Compound</t>
        </is>
      </c>
      <c r="B35" t="n">
        <v>3</v>
      </c>
      <c r="C35" t="inlineStr">
        <is>
          <t>bucket</t>
        </is>
      </c>
      <c r="D35" s="7" t="n">
        <v>18</v>
      </c>
      <c r="E35" s="7">
        <f>B35*D35</f>
        <v/>
      </c>
    </row>
    <row r="36">
      <c r="A36" t="inlineStr">
        <is>
          <t>Drywall Tape</t>
        </is>
      </c>
      <c r="B36" t="n">
        <v>2</v>
      </c>
      <c r="C36" t="inlineStr">
        <is>
          <t>roll</t>
        </is>
      </c>
      <c r="D36" s="7" t="n">
        <v>7</v>
      </c>
      <c r="E36" s="7">
        <f>B36*D36</f>
        <v/>
      </c>
    </row>
    <row r="37">
      <c r="A37" t="inlineStr">
        <is>
          <t>Drywall Screws</t>
        </is>
      </c>
      <c r="B37" t="n">
        <v>1</v>
      </c>
      <c r="C37" t="inlineStr">
        <is>
          <t>box</t>
        </is>
      </c>
      <c r="D37" s="7" t="n">
        <v>15</v>
      </c>
      <c r="E37" s="7">
        <f>B37*D37</f>
        <v/>
      </c>
    </row>
    <row r="38">
      <c r="A38" t="inlineStr">
        <is>
          <t>Paint - Primer</t>
        </is>
      </c>
      <c r="B38" t="n">
        <v>2</v>
      </c>
      <c r="C38" t="inlineStr">
        <is>
          <t>gallon</t>
        </is>
      </c>
      <c r="D38" s="7" t="n">
        <v>35</v>
      </c>
      <c r="E38" s="7">
        <f>B38*D38</f>
        <v/>
      </c>
    </row>
    <row r="39">
      <c r="A39" t="inlineStr">
        <is>
          <t>Paint - Finish</t>
        </is>
      </c>
      <c r="B39" t="n">
        <v>4</v>
      </c>
      <c r="C39" t="inlineStr">
        <is>
          <t>gallon</t>
        </is>
      </c>
      <c r="D39" s="7" t="n">
        <v>45</v>
      </c>
      <c r="E39" s="7">
        <f>B39*D39</f>
        <v/>
      </c>
    </row>
    <row r="40">
      <c r="A40" t="inlineStr">
        <is>
          <t>Floor Sander Rental</t>
        </is>
      </c>
      <c r="B40" t="n">
        <v>0.33</v>
      </c>
      <c r="C40" t="inlineStr">
        <is>
          <t>day</t>
        </is>
      </c>
      <c r="D40" s="7" t="n">
        <v>90</v>
      </c>
      <c r="E40" s="7">
        <f>B40*D40</f>
        <v/>
      </c>
    </row>
    <row r="41">
      <c r="A41" t="inlineStr">
        <is>
          <t>Floor Stain</t>
        </is>
      </c>
      <c r="B41" t="n">
        <v>1.5</v>
      </c>
      <c r="C41" t="inlineStr">
        <is>
          <t>gallon</t>
        </is>
      </c>
      <c r="D41" s="7" t="n">
        <v>50</v>
      </c>
      <c r="E41" s="7">
        <f>B41*D41</f>
        <v/>
      </c>
    </row>
    <row r="42">
      <c r="A42" t="inlineStr">
        <is>
          <t>Polyurethane</t>
        </is>
      </c>
      <c r="B42" t="n">
        <v>1</v>
      </c>
      <c r="C42" t="inlineStr">
        <is>
          <t>gallon</t>
        </is>
      </c>
      <c r="D42" s="7" t="n">
        <v>60</v>
      </c>
      <c r="E42" s="7">
        <f>B42*D42</f>
        <v/>
      </c>
    </row>
    <row r="43">
      <c r="A43" t="inlineStr">
        <is>
          <t>Sandpaper/Supplies</t>
        </is>
      </c>
      <c r="B43" t="n">
        <v>1</v>
      </c>
      <c r="C43" t="inlineStr">
        <is>
          <t>lot</t>
        </is>
      </c>
      <c r="D43" s="7" t="n">
        <v>30</v>
      </c>
      <c r="E43" s="7">
        <f>B43*D43</f>
        <v/>
      </c>
    </row>
    <row r="44">
      <c r="A44" t="inlineStr">
        <is>
          <t>Bathroom Wall Tile</t>
        </is>
      </c>
      <c r="B44" t="n">
        <v>112</v>
      </c>
      <c r="C44" t="inlineStr">
        <is>
          <t>sqft</t>
        </is>
      </c>
      <c r="D44" s="7" t="n">
        <v>3.5</v>
      </c>
      <c r="E44" s="7">
        <f>B44*D44</f>
        <v/>
      </c>
    </row>
    <row r="45">
      <c r="A45" t="inlineStr">
        <is>
          <t>Bathroom Floor Tile</t>
        </is>
      </c>
      <c r="B45" t="n">
        <v>50</v>
      </c>
      <c r="C45" t="inlineStr">
        <is>
          <t>sqft</t>
        </is>
      </c>
      <c r="D45" s="7" t="n">
        <v>4</v>
      </c>
      <c r="E45" s="7">
        <f>B45*D45</f>
        <v/>
      </c>
    </row>
    <row r="46">
      <c r="A46" t="inlineStr">
        <is>
          <t>Shower Tile</t>
        </is>
      </c>
      <c r="B46" t="n">
        <v>54</v>
      </c>
      <c r="C46" t="inlineStr">
        <is>
          <t>sqft</t>
        </is>
      </c>
      <c r="D46" s="7" t="n">
        <v>4</v>
      </c>
      <c r="E46" s="7">
        <f>B46*D46</f>
        <v/>
      </c>
    </row>
    <row r="47">
      <c r="A47" t="inlineStr">
        <is>
          <t>Thinset</t>
        </is>
      </c>
      <c r="B47" t="n">
        <v>3</v>
      </c>
      <c r="C47" t="inlineStr">
        <is>
          <t>bag</t>
        </is>
      </c>
      <c r="D47" s="7" t="n">
        <v>30</v>
      </c>
      <c r="E47" s="7">
        <f>B47*D47</f>
        <v/>
      </c>
    </row>
    <row r="48">
      <c r="A48" t="inlineStr">
        <is>
          <t>Grout</t>
        </is>
      </c>
      <c r="B48" t="n">
        <v>2</v>
      </c>
      <c r="C48" t="inlineStr">
        <is>
          <t>bag</t>
        </is>
      </c>
      <c r="D48" s="7" t="n">
        <v>20</v>
      </c>
      <c r="E48" s="7">
        <f>B48*D48</f>
        <v/>
      </c>
    </row>
    <row r="49">
      <c r="A49" t="inlineStr">
        <is>
          <t>Waterproof Membrane</t>
        </is>
      </c>
      <c r="B49" t="n">
        <v>1</v>
      </c>
      <c r="C49" t="inlineStr">
        <is>
          <t>lot</t>
        </is>
      </c>
      <c r="D49" s="7" t="n">
        <v>50</v>
      </c>
      <c r="E49" s="7">
        <f>B49*D49</f>
        <v/>
      </c>
    </row>
    <row r="50">
      <c r="A50" t="inlineStr">
        <is>
          <t>Toilet</t>
        </is>
      </c>
      <c r="B50" t="n">
        <v>1</v>
      </c>
      <c r="C50" t="inlineStr">
        <is>
          <t>each</t>
        </is>
      </c>
      <c r="D50" s="7" t="n">
        <v>200</v>
      </c>
      <c r="E50" s="7">
        <f>B50*D50</f>
        <v/>
      </c>
    </row>
    <row r="51">
      <c r="A51" t="inlineStr">
        <is>
          <t>Bathroom Sink</t>
        </is>
      </c>
      <c r="B51" t="n">
        <v>1</v>
      </c>
      <c r="C51" t="inlineStr">
        <is>
          <t>each</t>
        </is>
      </c>
      <c r="D51" s="7" t="n">
        <v>120</v>
      </c>
      <c r="E51" s="7">
        <f>B51*D51</f>
        <v/>
      </c>
    </row>
    <row r="52">
      <c r="A52" t="inlineStr">
        <is>
          <t>Shower Valve/Head</t>
        </is>
      </c>
      <c r="B52" t="n">
        <v>1</v>
      </c>
      <c r="C52" t="inlineStr">
        <is>
          <t>each</t>
        </is>
      </c>
      <c r="D52" s="7" t="n">
        <v>180</v>
      </c>
      <c r="E52" s="7">
        <f>B52*D52</f>
        <v/>
      </c>
    </row>
    <row r="53">
      <c r="A53" t="inlineStr">
        <is>
          <t>Faucet</t>
        </is>
      </c>
      <c r="B53" t="n">
        <v>1</v>
      </c>
      <c r="C53" t="inlineStr">
        <is>
          <t>each</t>
        </is>
      </c>
      <c r="D53" s="7" t="n">
        <v>85</v>
      </c>
      <c r="E53" s="7">
        <f>B53*D53</f>
        <v/>
      </c>
    </row>
    <row r="54">
      <c r="A54" t="inlineStr">
        <is>
          <t>Drain Assemblies</t>
        </is>
      </c>
      <c r="B54" t="n">
        <v>1</v>
      </c>
      <c r="C54" t="inlineStr">
        <is>
          <t>lot</t>
        </is>
      </c>
      <c r="D54" s="7" t="n">
        <v>60</v>
      </c>
      <c r="E54" s="7">
        <f>B54*D54</f>
        <v/>
      </c>
    </row>
    <row r="55">
      <c r="A55" t="inlineStr">
        <is>
          <t>Supply Lines</t>
        </is>
      </c>
      <c r="B55" t="n">
        <v>1</v>
      </c>
      <c r="C55" t="inlineStr">
        <is>
          <t>lot</t>
        </is>
      </c>
      <c r="D55" s="7" t="n">
        <v>40</v>
      </c>
      <c r="E55" s="7">
        <f>B55*D55</f>
        <v/>
      </c>
    </row>
    <row r="56">
      <c r="A56" t="inlineStr">
        <is>
          <t>Electrical Outlets</t>
        </is>
      </c>
      <c r="B56" t="n">
        <v>6</v>
      </c>
      <c r="C56" t="inlineStr">
        <is>
          <t>each</t>
        </is>
      </c>
      <c r="D56" s="7" t="n">
        <v>3</v>
      </c>
      <c r="E56" s="7">
        <f>B56*D56</f>
        <v/>
      </c>
    </row>
    <row r="57">
      <c r="A57" t="inlineStr">
        <is>
          <t>Switches</t>
        </is>
      </c>
      <c r="B57" t="n">
        <v>3</v>
      </c>
      <c r="C57" t="inlineStr">
        <is>
          <t>each</t>
        </is>
      </c>
      <c r="D57" s="7" t="n">
        <v>3</v>
      </c>
      <c r="E57" s="7">
        <f>B57*D57</f>
        <v/>
      </c>
    </row>
    <row r="58">
      <c r="A58" t="inlineStr">
        <is>
          <t>Light Fixtures</t>
        </is>
      </c>
      <c r="B58" t="n">
        <v>3</v>
      </c>
      <c r="C58" t="inlineStr">
        <is>
          <t>each</t>
        </is>
      </c>
      <c r="D58" s="7" t="n">
        <v>45</v>
      </c>
      <c r="E58" s="7">
        <f>B58*D58</f>
        <v/>
      </c>
    </row>
    <row r="59">
      <c r="A59" t="inlineStr">
        <is>
          <t>GFCI Outlet</t>
        </is>
      </c>
      <c r="B59" t="n">
        <v>1</v>
      </c>
      <c r="C59" t="inlineStr">
        <is>
          <t>each</t>
        </is>
      </c>
      <c r="D59" s="7" t="n">
        <v>15</v>
      </c>
      <c r="E59" s="7">
        <f>B59*D59</f>
        <v/>
      </c>
    </row>
    <row r="60">
      <c r="A60" t="inlineStr">
        <is>
          <t>Romex Wire</t>
        </is>
      </c>
      <c r="B60" t="n">
        <v>200</v>
      </c>
      <c r="C60" t="inlineStr">
        <is>
          <t>foot</t>
        </is>
      </c>
      <c r="D60" s="7" t="n">
        <v>0.4</v>
      </c>
      <c r="E60" s="7">
        <f>B60*D60</f>
        <v/>
      </c>
    </row>
    <row r="61">
      <c r="A61" t="inlineStr">
        <is>
          <t>Electrical Boxes/Covers</t>
        </is>
      </c>
      <c r="B61" t="n">
        <v>1</v>
      </c>
      <c r="C61" t="inlineStr">
        <is>
          <t>lot</t>
        </is>
      </c>
      <c r="D61" s="7" t="n">
        <v>30</v>
      </c>
      <c r="E61" s="7">
        <f>B61*D61</f>
        <v/>
      </c>
    </row>
    <row r="62">
      <c r="A62" t="inlineStr">
        <is>
          <t>Window Materials</t>
        </is>
      </c>
      <c r="B62" t="n">
        <v>2</v>
      </c>
      <c r="C62" t="inlineStr">
        <is>
          <t>each</t>
        </is>
      </c>
      <c r="D62" s="7" t="n">
        <v>180</v>
      </c>
      <c r="E62" s="7">
        <f>B62*D62</f>
        <v/>
      </c>
    </row>
    <row r="63">
      <c r="A63" t="inlineStr">
        <is>
          <t>Window Glass</t>
        </is>
      </c>
      <c r="B63" t="n">
        <v>2</v>
      </c>
      <c r="C63" t="inlineStr">
        <is>
          <t>each</t>
        </is>
      </c>
      <c r="D63" s="7" t="n">
        <v>60</v>
      </c>
      <c r="E63" s="7">
        <f>B63*D63</f>
        <v/>
      </c>
    </row>
    <row r="64">
      <c r="A64" t="inlineStr">
        <is>
          <t>Window Hardware</t>
        </is>
      </c>
      <c r="B64" t="n">
        <v>2</v>
      </c>
      <c r="C64" t="inlineStr">
        <is>
          <t>each</t>
        </is>
      </c>
      <c r="D64" s="7" t="n">
        <v>25</v>
      </c>
      <c r="E64" s="7">
        <f>B64*D64</f>
        <v/>
      </c>
    </row>
    <row r="65">
      <c r="A65" t="inlineStr">
        <is>
          <t>Glazing Compound</t>
        </is>
      </c>
      <c r="B65" t="n">
        <v>1</v>
      </c>
      <c r="C65" t="inlineStr">
        <is>
          <t>lot</t>
        </is>
      </c>
      <c r="D65" s="7" t="n">
        <v>20</v>
      </c>
      <c r="E65" s="7">
        <f>B65*D65</f>
        <v/>
      </c>
    </row>
    <row r="66">
      <c r="A66" t="inlineStr">
        <is>
          <t>Flex Ductwork</t>
        </is>
      </c>
      <c r="B66" t="n">
        <v>20</v>
      </c>
      <c r="C66" t="inlineStr">
        <is>
          <t>foot</t>
        </is>
      </c>
      <c r="D66" s="7" t="n">
        <v>8</v>
      </c>
      <c r="E66" s="7">
        <f>B66*D66</f>
        <v/>
      </c>
    </row>
    <row r="67">
      <c r="A67" t="inlineStr">
        <is>
          <t>HVAC Registers</t>
        </is>
      </c>
      <c r="B67" t="n">
        <v>2</v>
      </c>
      <c r="C67" t="inlineStr">
        <is>
          <t>each</t>
        </is>
      </c>
      <c r="D67" s="7" t="n">
        <v>15</v>
      </c>
      <c r="E67" s="7">
        <f>B67*D67</f>
        <v/>
      </c>
    </row>
    <row r="68">
      <c r="A68" t="inlineStr">
        <is>
          <t>Zone Damper</t>
        </is>
      </c>
      <c r="B68" t="n">
        <v>1</v>
      </c>
      <c r="C68" t="inlineStr">
        <is>
          <t>each</t>
        </is>
      </c>
      <c r="D68" s="7" t="n">
        <v>180</v>
      </c>
      <c r="E68" s="7">
        <f>B68*D68</f>
        <v/>
      </c>
    </row>
    <row r="69">
      <c r="A69" t="inlineStr">
        <is>
          <t>Duct Insulation</t>
        </is>
      </c>
      <c r="B69" t="n">
        <v>1</v>
      </c>
      <c r="C69" t="inlineStr">
        <is>
          <t>lot</t>
        </is>
      </c>
      <c r="D69" s="7" t="n">
        <v>40</v>
      </c>
      <c r="E69" s="7">
        <f>B69*D69</f>
        <v/>
      </c>
    </row>
    <row r="70">
      <c r="A70" t="inlineStr">
        <is>
          <t>Interior Door</t>
        </is>
      </c>
      <c r="B70" t="n">
        <v>1</v>
      </c>
      <c r="C70" t="inlineStr">
        <is>
          <t>each</t>
        </is>
      </c>
      <c r="D70" s="7" t="n">
        <v>125</v>
      </c>
      <c r="E70" s="7">
        <f>B70*D70</f>
        <v/>
      </c>
    </row>
    <row r="71">
      <c r="A71" t="inlineStr">
        <is>
          <t>Door Hardware</t>
        </is>
      </c>
      <c r="B71" t="n">
        <v>1</v>
      </c>
      <c r="C71" t="inlineStr">
        <is>
          <t>set</t>
        </is>
      </c>
      <c r="D71" s="7" t="n">
        <v>45</v>
      </c>
      <c r="E71" s="7">
        <f>B71*D71</f>
        <v/>
      </c>
    </row>
    <row r="72">
      <c r="A72" t="inlineStr">
        <is>
          <t>Baseboard</t>
        </is>
      </c>
      <c r="B72" t="n">
        <v>70</v>
      </c>
      <c r="C72" t="inlineStr">
        <is>
          <t>LF</t>
        </is>
      </c>
      <c r="D72" s="7" t="n">
        <v>1.2</v>
      </c>
      <c r="E72" s="7">
        <f>B72*D72</f>
        <v/>
      </c>
    </row>
    <row r="73">
      <c r="A73" t="inlineStr">
        <is>
          <t>Door Trim</t>
        </is>
      </c>
      <c r="B73" t="n">
        <v>1</v>
      </c>
      <c r="C73" t="inlineStr">
        <is>
          <t>lot</t>
        </is>
      </c>
      <c r="D73" s="7" t="n">
        <v>40</v>
      </c>
      <c r="E73" s="7">
        <f>B73*D73</f>
        <v/>
      </c>
    </row>
    <row r="74">
      <c r="A74" t="inlineStr">
        <is>
          <t>Nails/Adhesive</t>
        </is>
      </c>
      <c r="B74" t="n">
        <v>1</v>
      </c>
      <c r="C74" t="inlineStr">
        <is>
          <t>lot</t>
        </is>
      </c>
      <c r="D74" s="7" t="n">
        <v>15</v>
      </c>
      <c r="E74" s="7">
        <f>B74*D74</f>
        <v/>
      </c>
    </row>
    <row r="75">
      <c r="A75" t="inlineStr">
        <is>
          <t>Bathroom Mirror</t>
        </is>
      </c>
      <c r="B75" t="n">
        <v>1</v>
      </c>
      <c r="C75" t="inlineStr">
        <is>
          <t>each</t>
        </is>
      </c>
      <c r="D75" s="7" t="n">
        <v>40</v>
      </c>
      <c r="E75" s="7">
        <f>B75*D75</f>
        <v/>
      </c>
    </row>
    <row r="76">
      <c r="A76" t="inlineStr">
        <is>
          <t>Towel Bar/TP Holder</t>
        </is>
      </c>
      <c r="B76" t="n">
        <v>1</v>
      </c>
      <c r="C76" t="inlineStr">
        <is>
          <t>set</t>
        </is>
      </c>
      <c r="D76" s="7" t="n">
        <v>30</v>
      </c>
      <c r="E76" s="7">
        <f>B76*D76</f>
        <v/>
      </c>
    </row>
    <row r="77">
      <c r="A77" t="inlineStr">
        <is>
          <t>Shower Rod/Curtain</t>
        </is>
      </c>
      <c r="B77" t="n">
        <v>1</v>
      </c>
      <c r="C77" t="inlineStr">
        <is>
          <t>set</t>
        </is>
      </c>
      <c r="D77" s="7" t="n">
        <v>35</v>
      </c>
      <c r="E77" s="7">
        <f>B77*D77</f>
        <v/>
      </c>
    </row>
    <row r="78">
      <c r="A78" t="inlineStr">
        <is>
          <t>Dumpster Allocation</t>
        </is>
      </c>
      <c r="B78" t="n">
        <v>1</v>
      </c>
      <c r="C78" t="inlineStr">
        <is>
          <t>room</t>
        </is>
      </c>
      <c r="D78" s="7" t="n">
        <v>50</v>
      </c>
      <c r="E78" s="7">
        <f>B78*D78</f>
        <v/>
      </c>
    </row>
    <row r="79">
      <c r="A79" s="4" t="inlineStr">
        <is>
          <t>Materials Subtotal (per room)</t>
        </is>
      </c>
      <c r="E79" s="12">
        <f>SUM(E34:E78)</f>
        <v/>
      </c>
      <c r="F79" s="3">
        <f>E79*36</f>
        <v/>
      </c>
    </row>
    <row r="81">
      <c r="A81" s="4" t="inlineStr">
        <is>
          <t>LABOR - Full Renovation (per room)</t>
        </is>
      </c>
    </row>
    <row r="82">
      <c r="A82" s="4" t="inlineStr">
        <is>
          <t>Task</t>
        </is>
      </c>
      <c r="B82" s="4" t="inlineStr">
        <is>
          <t>Hours</t>
        </is>
      </c>
      <c r="C82" s="4" t="inlineStr">
        <is>
          <t>Rate/Hr</t>
        </is>
      </c>
      <c r="D82" s="4" t="inlineStr">
        <is>
          <t>Unit Cost</t>
        </is>
      </c>
      <c r="E82" s="4" t="inlineStr">
        <is>
          <t>Extended</t>
        </is>
      </c>
      <c r="F82" s="4" t="inlineStr">
        <is>
          <t>Total</t>
        </is>
      </c>
    </row>
    <row r="83">
      <c r="A83" t="inlineStr">
        <is>
          <t>Demolition</t>
        </is>
      </c>
      <c r="B83" t="n">
        <v>8</v>
      </c>
      <c r="C83" s="7" t="n">
        <v>18</v>
      </c>
      <c r="E83" s="7">
        <f>B83*C83</f>
        <v/>
      </c>
    </row>
    <row r="84">
      <c r="A84" t="inlineStr">
        <is>
          <t>Haul debris</t>
        </is>
      </c>
      <c r="B84" t="n">
        <v>2</v>
      </c>
      <c r="C84" s="7" t="n">
        <v>18</v>
      </c>
      <c r="E84" s="7">
        <f>B84*C84</f>
        <v/>
      </c>
    </row>
    <row r="85">
      <c r="A85" t="inlineStr">
        <is>
          <t>Drywall hanging</t>
        </is>
      </c>
      <c r="B85" t="n">
        <v>12</v>
      </c>
      <c r="C85" s="7" t="n">
        <v>25</v>
      </c>
      <c r="E85" s="7">
        <f>B85*C85</f>
        <v/>
      </c>
    </row>
    <row r="86">
      <c r="A86" t="inlineStr">
        <is>
          <t>Drywall finishing</t>
        </is>
      </c>
      <c r="B86" t="n">
        <v>12</v>
      </c>
      <c r="C86" s="7" t="n">
        <v>22</v>
      </c>
      <c r="E86" s="7">
        <f>B86*C86</f>
        <v/>
      </c>
    </row>
    <row r="87">
      <c r="A87" t="inlineStr">
        <is>
          <t>Paint</t>
        </is>
      </c>
      <c r="B87" t="n">
        <v>12</v>
      </c>
      <c r="C87" s="7" t="n">
        <v>22</v>
      </c>
      <c r="E87" s="7">
        <f>B87*C87</f>
        <v/>
      </c>
    </row>
    <row r="88">
      <c r="A88" t="inlineStr">
        <is>
          <t>Floor refinish</t>
        </is>
      </c>
      <c r="B88" t="n">
        <v>10</v>
      </c>
      <c r="C88" s="7" t="n">
        <v>22</v>
      </c>
      <c r="E88" s="7">
        <f>B88*C88</f>
        <v/>
      </c>
    </row>
    <row r="89">
      <c r="A89" t="inlineStr">
        <is>
          <t>Tile work</t>
        </is>
      </c>
      <c r="B89" t="n">
        <v>20</v>
      </c>
      <c r="C89" s="7" t="n">
        <v>30</v>
      </c>
      <c r="E89" s="7">
        <f>B89*C89</f>
        <v/>
      </c>
    </row>
    <row r="90">
      <c r="A90" t="inlineStr">
        <is>
          <t>Window rebuild</t>
        </is>
      </c>
      <c r="B90" t="n">
        <v>24</v>
      </c>
      <c r="C90" s="7" t="n">
        <v>28</v>
      </c>
      <c r="E90" s="7">
        <f>B90*C90</f>
        <v/>
      </c>
    </row>
    <row r="91">
      <c r="A91" t="inlineStr">
        <is>
          <t>Electrical rough-in</t>
        </is>
      </c>
      <c r="B91" t="n">
        <v>8</v>
      </c>
      <c r="C91" s="7" t="n">
        <v>45</v>
      </c>
      <c r="E91" s="7">
        <f>B91*C91</f>
        <v/>
      </c>
    </row>
    <row r="92">
      <c r="A92" t="inlineStr">
        <is>
          <t>Electrical finish</t>
        </is>
      </c>
      <c r="B92" t="n">
        <v>4</v>
      </c>
      <c r="C92" s="7" t="n">
        <v>45</v>
      </c>
      <c r="E92" s="7">
        <f>B92*C92</f>
        <v/>
      </c>
    </row>
    <row r="93">
      <c r="A93" t="inlineStr">
        <is>
          <t>Plumbing rough-in</t>
        </is>
      </c>
      <c r="B93" t="n">
        <v>8</v>
      </c>
      <c r="C93" s="7" t="n">
        <v>50</v>
      </c>
      <c r="E93" s="7">
        <f>B93*C93</f>
        <v/>
      </c>
    </row>
    <row r="94">
      <c r="A94" t="inlineStr">
        <is>
          <t>Plumbing fixtures</t>
        </is>
      </c>
      <c r="B94" t="n">
        <v>4</v>
      </c>
      <c r="C94" s="7" t="n">
        <v>50</v>
      </c>
      <c r="E94" s="7">
        <f>B94*C94</f>
        <v/>
      </c>
    </row>
    <row r="95">
      <c r="A95" t="inlineStr">
        <is>
          <t>HVAC ductwork</t>
        </is>
      </c>
      <c r="B95" t="n">
        <v>6</v>
      </c>
      <c r="C95" s="7" t="n">
        <v>45</v>
      </c>
      <c r="E95" s="7">
        <f>B95*C95</f>
        <v/>
      </c>
    </row>
    <row r="96">
      <c r="A96" t="inlineStr">
        <is>
          <t>Trim/doors</t>
        </is>
      </c>
      <c r="B96" t="n">
        <v>8</v>
      </c>
      <c r="C96" s="7" t="n">
        <v>25</v>
      </c>
      <c r="E96" s="7">
        <f>B96*C96</f>
        <v/>
      </c>
    </row>
    <row r="97">
      <c r="A97" t="inlineStr">
        <is>
          <t>Final cleanup</t>
        </is>
      </c>
      <c r="B97" t="n">
        <v>3</v>
      </c>
      <c r="C97" s="7" t="n">
        <v>18</v>
      </c>
      <c r="E97" s="7">
        <f>B97*C97</f>
        <v/>
      </c>
    </row>
    <row r="98">
      <c r="A98" s="4" t="inlineStr">
        <is>
          <t>Labor Subtotal (per room)</t>
        </is>
      </c>
      <c r="E98" s="12">
        <f>SUM(E83:E97)</f>
        <v/>
      </c>
      <c r="F98" s="3">
        <f>E98*36</f>
        <v/>
      </c>
    </row>
    <row r="100">
      <c r="A100" s="2" t="inlineStr">
        <is>
          <t>FULL RENOVATION TOTAL</t>
        </is>
      </c>
      <c r="E100" s="12">
        <f>E79+E98</f>
        <v/>
      </c>
      <c r="F100" s="3">
        <f>F79+F98</f>
        <v/>
      </c>
    </row>
    <row r="103">
      <c r="A103" s="2" t="inlineStr">
        <is>
          <t>CENTRAL HVAC SYSTEM</t>
        </is>
      </c>
    </row>
    <row r="104">
      <c r="A104" s="4" t="inlineStr">
        <is>
          <t>Item</t>
        </is>
      </c>
      <c r="B104" s="4" t="inlineStr">
        <is>
          <t>Quantity</t>
        </is>
      </c>
      <c r="C104" s="4" t="inlineStr">
        <is>
          <t>Unit</t>
        </is>
      </c>
      <c r="D104" s="4" t="inlineStr">
        <is>
          <t>Unit Cost</t>
        </is>
      </c>
      <c r="E104" s="4" t="inlineStr">
        <is>
          <t>Extended</t>
        </is>
      </c>
      <c r="F104" s="4" t="inlineStr"/>
    </row>
    <row r="105">
      <c r="A105" t="inlineStr">
        <is>
          <t>Central HVAC Unit (20 ton)</t>
        </is>
      </c>
      <c r="B105" t="n">
        <v>1</v>
      </c>
      <c r="C105" t="inlineStr">
        <is>
          <t>each</t>
        </is>
      </c>
      <c r="D105" s="5" t="n">
        <v>18000</v>
      </c>
      <c r="E105" s="5">
        <f>B105*D105</f>
        <v/>
      </c>
    </row>
    <row r="106">
      <c r="A106" t="inlineStr">
        <is>
          <t>Main Ductwork Trunk Lines</t>
        </is>
      </c>
      <c r="B106" t="n">
        <v>1</v>
      </c>
      <c r="C106" t="inlineStr">
        <is>
          <t>lot</t>
        </is>
      </c>
      <c r="D106" s="5" t="n">
        <v>8000</v>
      </c>
      <c r="E106" s="5">
        <f>B106*D106</f>
        <v/>
      </c>
    </row>
    <row r="107">
      <c r="A107" t="inlineStr">
        <is>
          <t>Installation Labor</t>
        </is>
      </c>
      <c r="B107" t="n">
        <v>1</v>
      </c>
      <c r="C107" t="inlineStr">
        <is>
          <t>lot</t>
        </is>
      </c>
      <c r="D107" s="5" t="n">
        <v>6000</v>
      </c>
      <c r="E107" s="5">
        <f>B107*D107</f>
        <v/>
      </c>
    </row>
    <row r="108">
      <c r="A108" s="4" t="inlineStr">
        <is>
          <t>Central HVAC Total</t>
        </is>
      </c>
      <c r="E108" s="3">
        <f>SUM(E105:E107)</f>
        <v/>
      </c>
    </row>
    <row r="111">
      <c r="A111" s="2" t="inlineStr">
        <is>
          <t>AMENITIES</t>
        </is>
      </c>
    </row>
    <row r="112">
      <c r="A112" s="4" t="inlineStr">
        <is>
          <t>Extended Laundry Facility</t>
        </is>
      </c>
    </row>
    <row r="113">
      <c r="A113" s="4" t="inlineStr">
        <is>
          <t>Item</t>
        </is>
      </c>
      <c r="B113" s="4" t="inlineStr">
        <is>
          <t>Quantity</t>
        </is>
      </c>
      <c r="C113" s="4" t="inlineStr">
        <is>
          <t>Unit</t>
        </is>
      </c>
      <c r="D113" s="4" t="inlineStr">
        <is>
          <t>Unit Cost</t>
        </is>
      </c>
      <c r="E113" s="4" t="inlineStr">
        <is>
          <t>Extended</t>
        </is>
      </c>
      <c r="F113" s="4" t="inlineStr"/>
    </row>
    <row r="114">
      <c r="A114" t="inlineStr">
        <is>
          <t>Commercial Washer (Speed Queen)</t>
        </is>
      </c>
      <c r="B114" t="n">
        <v>6</v>
      </c>
      <c r="C114" t="inlineStr">
        <is>
          <t>each</t>
        </is>
      </c>
      <c r="D114" s="5" t="n">
        <v>2000</v>
      </c>
      <c r="E114" s="5">
        <f>B114*D114</f>
        <v/>
      </c>
    </row>
    <row r="115">
      <c r="A115" t="inlineStr">
        <is>
          <t>Commercial Dryer (Speed Queen)</t>
        </is>
      </c>
      <c r="B115" t="n">
        <v>6</v>
      </c>
      <c r="C115" t="inlineStr">
        <is>
          <t>each</t>
        </is>
      </c>
      <c r="D115" s="5" t="n">
        <v>1800</v>
      </c>
      <c r="E115" s="5">
        <f>B115*D115</f>
        <v/>
      </c>
    </row>
    <row r="116">
      <c r="A116" t="inlineStr">
        <is>
          <t>Plumbing Rough-in</t>
        </is>
      </c>
      <c r="B116" t="n">
        <v>1</v>
      </c>
      <c r="C116" t="inlineStr">
        <is>
          <t>lot</t>
        </is>
      </c>
      <c r="D116" s="5" t="n">
        <v>4000</v>
      </c>
      <c r="E116" s="5">
        <f>B116*D116</f>
        <v/>
      </c>
    </row>
    <row r="117">
      <c r="A117" t="inlineStr">
        <is>
          <t>Electrical (220V circuits)</t>
        </is>
      </c>
      <c r="B117" t="n">
        <v>1</v>
      </c>
      <c r="C117" t="inlineStr">
        <is>
          <t>lot</t>
        </is>
      </c>
      <c r="D117" s="5" t="n">
        <v>3000</v>
      </c>
      <c r="E117" s="5">
        <f>B117*D117</f>
        <v/>
      </c>
    </row>
    <row r="118">
      <c r="A118" t="inlineStr">
        <is>
          <t>Ventilation/Ductwork</t>
        </is>
      </c>
      <c r="B118" t="n">
        <v>1</v>
      </c>
      <c r="C118" t="inlineStr">
        <is>
          <t>lot</t>
        </is>
      </c>
      <c r="D118" s="5" t="n">
        <v>2500</v>
      </c>
      <c r="E118" s="5">
        <f>B118*D118</f>
        <v/>
      </c>
    </row>
    <row r="119">
      <c r="A119" t="inlineStr">
        <is>
          <t>Flooring (200 sqft)</t>
        </is>
      </c>
      <c r="B119" t="n">
        <v>200</v>
      </c>
      <c r="C119" t="inlineStr">
        <is>
          <t>sqft</t>
        </is>
      </c>
      <c r="D119" s="5" t="n">
        <v>4</v>
      </c>
      <c r="E119" s="5">
        <f>B119*D119</f>
        <v/>
      </c>
    </row>
    <row r="120">
      <c r="A120" t="inlineStr">
        <is>
          <t>Folding Tables/Carts</t>
        </is>
      </c>
      <c r="B120" t="n">
        <v>1</v>
      </c>
      <c r="C120" t="inlineStr">
        <is>
          <t>lot</t>
        </is>
      </c>
      <c r="D120" s="5" t="n">
        <v>1000</v>
      </c>
      <c r="E120" s="5">
        <f>B120*D120</f>
        <v/>
      </c>
    </row>
    <row r="121">
      <c r="A121" t="inlineStr">
        <is>
          <t>Coin/Card Payment System</t>
        </is>
      </c>
      <c r="B121" t="n">
        <v>1</v>
      </c>
      <c r="C121" t="inlineStr">
        <is>
          <t>system</t>
        </is>
      </c>
      <c r="D121" s="5" t="n">
        <v>5000</v>
      </c>
      <c r="E121" s="5">
        <f>B121*D121</f>
        <v/>
      </c>
    </row>
    <row r="122">
      <c r="A122" t="inlineStr">
        <is>
          <t>Installation Labor</t>
        </is>
      </c>
      <c r="B122" t="n">
        <v>1</v>
      </c>
      <c r="C122" t="inlineStr">
        <is>
          <t>lot</t>
        </is>
      </c>
      <c r="D122" s="5" t="n">
        <v>8000</v>
      </c>
      <c r="E122" s="5">
        <f>B122*D122</f>
        <v/>
      </c>
    </row>
    <row r="123">
      <c r="A123" s="4" t="inlineStr">
        <is>
          <t>Laundry Facility Total</t>
        </is>
      </c>
      <c r="E123" s="3">
        <f>SUM(E114:E122)</f>
        <v/>
      </c>
    </row>
    <row r="125">
      <c r="A125" s="4" t="inlineStr">
        <is>
          <t>Extended Kitchen Facility</t>
        </is>
      </c>
    </row>
    <row r="126">
      <c r="A126" s="4" t="inlineStr">
        <is>
          <t>Item</t>
        </is>
      </c>
      <c r="B126" s="4" t="inlineStr">
        <is>
          <t>Quantity</t>
        </is>
      </c>
      <c r="C126" s="4" t="inlineStr">
        <is>
          <t>Unit</t>
        </is>
      </c>
      <c r="D126" s="4" t="inlineStr">
        <is>
          <t>Unit Cost</t>
        </is>
      </c>
      <c r="E126" s="4" t="inlineStr">
        <is>
          <t>Extended</t>
        </is>
      </c>
      <c r="F126" s="4" t="inlineStr"/>
    </row>
    <row r="127">
      <c r="A127" t="inlineStr">
        <is>
          <t>Commercial Range</t>
        </is>
      </c>
      <c r="B127" t="n">
        <v>2</v>
      </c>
      <c r="C127" t="inlineStr">
        <is>
          <t>each</t>
        </is>
      </c>
      <c r="D127" s="5" t="n">
        <v>1500</v>
      </c>
      <c r="E127" s="5">
        <f>B127*D127</f>
        <v/>
      </c>
    </row>
    <row r="128">
      <c r="A128" t="inlineStr">
        <is>
          <t>Commercial Refrigerator</t>
        </is>
      </c>
      <c r="B128" t="n">
        <v>2</v>
      </c>
      <c r="C128" t="inlineStr">
        <is>
          <t>each</t>
        </is>
      </c>
      <c r="D128" s="5" t="n">
        <v>1000</v>
      </c>
      <c r="E128" s="5">
        <f>B128*D128</f>
        <v/>
      </c>
    </row>
    <row r="129">
      <c r="A129" t="inlineStr">
        <is>
          <t>Countertops/Cabinets</t>
        </is>
      </c>
      <c r="B129" t="n">
        <v>1</v>
      </c>
      <c r="C129" t="inlineStr">
        <is>
          <t>lot</t>
        </is>
      </c>
      <c r="D129" s="5" t="n">
        <v>8000</v>
      </c>
      <c r="E129" s="5">
        <f>B129*D129</f>
        <v/>
      </c>
    </row>
    <row r="130">
      <c r="A130" t="inlineStr">
        <is>
          <t>Commercial Sinks</t>
        </is>
      </c>
      <c r="B130" t="n">
        <v>1</v>
      </c>
      <c r="C130" t="inlineStr">
        <is>
          <t>lot</t>
        </is>
      </c>
      <c r="D130" s="5" t="n">
        <v>1500</v>
      </c>
      <c r="E130" s="5">
        <f>B130*D130</f>
        <v/>
      </c>
    </row>
    <row r="131">
      <c r="A131" t="inlineStr">
        <is>
          <t>Plumbing</t>
        </is>
      </c>
      <c r="B131" t="n">
        <v>1</v>
      </c>
      <c r="C131" t="inlineStr">
        <is>
          <t>lot</t>
        </is>
      </c>
      <c r="D131" s="5" t="n">
        <v>3000</v>
      </c>
      <c r="E131" s="5">
        <f>B131*D131</f>
        <v/>
      </c>
    </row>
    <row r="132">
      <c r="A132" t="inlineStr">
        <is>
          <t>Electrical</t>
        </is>
      </c>
      <c r="B132" t="n">
        <v>1</v>
      </c>
      <c r="C132" t="inlineStr">
        <is>
          <t>lot</t>
        </is>
      </c>
      <c r="D132" s="5" t="n">
        <v>2500</v>
      </c>
      <c r="E132" s="5">
        <f>B132*D132</f>
        <v/>
      </c>
    </row>
    <row r="133">
      <c r="A133" t="inlineStr">
        <is>
          <t>Fire Suppression System</t>
        </is>
      </c>
      <c r="B133" t="n">
        <v>1</v>
      </c>
      <c r="C133" t="inlineStr">
        <is>
          <t>system</t>
        </is>
      </c>
      <c r="D133" s="5" t="n">
        <v>4000</v>
      </c>
      <c r="E133" s="5">
        <f>B133*D133</f>
        <v/>
      </c>
    </row>
    <row r="134">
      <c r="A134" t="inlineStr">
        <is>
          <t>Ventilation/Hood</t>
        </is>
      </c>
      <c r="B134" t="n">
        <v>1</v>
      </c>
      <c r="C134" t="inlineStr">
        <is>
          <t>lot</t>
        </is>
      </c>
      <c r="D134" s="5" t="n">
        <v>6000</v>
      </c>
      <c r="E134" s="5">
        <f>B134*D134</f>
        <v/>
      </c>
    </row>
    <row r="135">
      <c r="A135" t="inlineStr">
        <is>
          <t>Installation Labor</t>
        </is>
      </c>
      <c r="B135" t="n">
        <v>1</v>
      </c>
      <c r="C135" t="inlineStr">
        <is>
          <t>lot</t>
        </is>
      </c>
      <c r="D135" s="5" t="n">
        <v>8000</v>
      </c>
      <c r="E135" s="5">
        <f>B135*D135</f>
        <v/>
      </c>
    </row>
    <row r="136">
      <c r="A136" s="4" t="inlineStr">
        <is>
          <t>Kitchen Facility Total</t>
        </is>
      </c>
      <c r="E136" s="3">
        <f>SUM(E127:E135)</f>
        <v/>
      </c>
    </row>
    <row r="139">
      <c r="A139" s="2" t="inlineStr">
        <is>
          <t>INFRASTRUCTURE &amp; JOBSITE</t>
        </is>
      </c>
    </row>
    <row r="140">
      <c r="A140" s="4" t="inlineStr">
        <is>
          <t>Item</t>
        </is>
      </c>
      <c r="B140" s="4" t="inlineStr">
        <is>
          <t>Quantity</t>
        </is>
      </c>
      <c r="C140" s="4" t="inlineStr">
        <is>
          <t>Unit</t>
        </is>
      </c>
      <c r="D140" s="4" t="inlineStr">
        <is>
          <t>Unit Cost</t>
        </is>
      </c>
      <c r="E140" s="4" t="inlineStr">
        <is>
          <t>Extended</t>
        </is>
      </c>
      <c r="F140" s="4" t="inlineStr"/>
    </row>
    <row r="141">
      <c r="A141" t="inlineStr">
        <is>
          <t>Tool/Equipment Rental</t>
        </is>
      </c>
      <c r="B141" t="n">
        <v>1</v>
      </c>
      <c r="C141" t="inlineStr">
        <is>
          <t>lot</t>
        </is>
      </c>
      <c r="D141" s="5" t="n">
        <v>3000</v>
      </c>
      <c r="E141" s="5">
        <f>B141*D141</f>
        <v/>
      </c>
    </row>
    <row r="142">
      <c r="A142" t="inlineStr">
        <is>
          <t>Permits/Fees</t>
        </is>
      </c>
      <c r="B142" t="n">
        <v>1</v>
      </c>
      <c r="C142" t="inlineStr">
        <is>
          <t>lot</t>
        </is>
      </c>
      <c r="D142" s="5" t="n">
        <v>5000</v>
      </c>
      <c r="E142" s="5">
        <f>B142*D142</f>
        <v/>
      </c>
    </row>
    <row r="143">
      <c r="A143" t="inlineStr">
        <is>
          <t>Inspections</t>
        </is>
      </c>
      <c r="B143" t="n">
        <v>1</v>
      </c>
      <c r="C143" t="inlineStr">
        <is>
          <t>lot</t>
        </is>
      </c>
      <c r="D143" s="5" t="n">
        <v>2000</v>
      </c>
      <c r="E143" s="5">
        <f>B143*D143</f>
        <v/>
      </c>
    </row>
    <row r="144">
      <c r="A144" t="inlineStr">
        <is>
          <t>Project Management</t>
        </is>
      </c>
      <c r="B144" t="n">
        <v>1</v>
      </c>
      <c r="C144" t="inlineStr">
        <is>
          <t>lot</t>
        </is>
      </c>
      <c r="D144" s="5" t="n">
        <v>15000</v>
      </c>
      <c r="E144" s="5">
        <f>B144*D144</f>
        <v/>
      </c>
    </row>
    <row r="145">
      <c r="A145" s="4" t="inlineStr">
        <is>
          <t>Infrastructure Total</t>
        </is>
      </c>
      <c r="E145" s="3">
        <f>SUM(E141:E144)</f>
        <v/>
      </c>
    </row>
    <row r="148">
      <c r="A148" s="9" t="inlineStr">
        <is>
          <t>RENOVATION BUDGET SUMMARY</t>
        </is>
      </c>
    </row>
    <row r="149">
      <c r="A149" s="4" t="inlineStr">
        <is>
          <t>Category</t>
        </is>
      </c>
      <c r="E149" s="4" t="inlineStr">
        <is>
          <t>Amount</t>
        </is>
      </c>
    </row>
    <row r="150">
      <c r="A150" t="inlineStr">
        <is>
          <t>Light Renovation (7 rooms)</t>
        </is>
      </c>
      <c r="E150" s="5">
        <f>F29</f>
        <v/>
      </c>
    </row>
    <row r="151">
      <c r="A151" t="inlineStr">
        <is>
          <t>Full Renovation (36 rooms)</t>
        </is>
      </c>
      <c r="E151" s="5">
        <f>F100</f>
        <v/>
      </c>
    </row>
    <row r="152">
      <c r="A152" t="inlineStr">
        <is>
          <t>Central HVAC</t>
        </is>
      </c>
      <c r="E152" s="5">
        <f>E108</f>
        <v/>
      </c>
    </row>
    <row r="153">
      <c r="A153" t="inlineStr">
        <is>
          <t>Extended Laundry</t>
        </is>
      </c>
      <c r="E153" s="5">
        <f>E123</f>
        <v/>
      </c>
    </row>
    <row r="154">
      <c r="A154" t="inlineStr">
        <is>
          <t>Extended Kitchen</t>
        </is>
      </c>
      <c r="E154" s="5">
        <f>E136</f>
        <v/>
      </c>
    </row>
    <row r="155">
      <c r="A155" t="inlineStr">
        <is>
          <t>Infrastructure/Jobsite</t>
        </is>
      </c>
      <c r="E155" s="5">
        <f>E145</f>
        <v/>
      </c>
    </row>
    <row r="156">
      <c r="A156" s="4" t="inlineStr">
        <is>
          <t>SUBTOTAL</t>
        </is>
      </c>
      <c r="E156" s="3">
        <f>SUM(E150:E155)</f>
        <v/>
      </c>
    </row>
    <row r="157">
      <c r="A157" t="inlineStr">
        <is>
          <t>Contingency (10%)</t>
        </is>
      </c>
      <c r="E157" s="5">
        <f>E156*0.10</f>
        <v/>
      </c>
    </row>
    <row r="158">
      <c r="A158" s="2" t="inlineStr">
        <is>
          <t>TOTAL RENOVATION COST</t>
        </is>
      </c>
      <c r="E158" s="13">
        <f>E156+E157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CURRENT OPERATIONS (April 2026)</t>
        </is>
      </c>
    </row>
    <row r="3">
      <c r="A3" s="4" t="inlineStr">
        <is>
          <t>OPERATING PERFORMANCE</t>
        </is>
      </c>
    </row>
    <row r="4">
      <c r="A4" t="inlineStr">
        <is>
          <t>Occupied Rooms:</t>
        </is>
      </c>
      <c r="B4" t="n">
        <v>18</v>
      </c>
    </row>
    <row r="5">
      <c r="A5" t="inlineStr">
        <is>
          <t>Available Rooms:</t>
        </is>
      </c>
      <c r="B5" t="n">
        <v>24</v>
      </c>
    </row>
    <row r="6">
      <c r="A6" t="inlineStr">
        <is>
          <t>Occupancy Rate:</t>
        </is>
      </c>
      <c r="B6" s="10">
        <f>B4/B5</f>
        <v/>
      </c>
    </row>
    <row r="8">
      <c r="A8" s="4" t="inlineStr">
        <is>
          <t>REVENUE</t>
        </is>
      </c>
    </row>
    <row r="9">
      <c r="A9" t="inlineStr">
        <is>
          <t>Monthly Rent (Contractual):</t>
        </is>
      </c>
      <c r="B9" s="5" t="n">
        <v>15340</v>
      </c>
    </row>
    <row r="10">
      <c r="A10" t="inlineStr">
        <is>
          <t>Annualized Revenue:</t>
        </is>
      </c>
      <c r="B10" s="5">
        <f>B9*12</f>
        <v/>
      </c>
    </row>
    <row r="12">
      <c r="A12" s="4" t="inlineStr">
        <is>
          <t>OPERATING EXPENSES (Q1 2026 Average)</t>
        </is>
      </c>
    </row>
    <row r="13">
      <c r="A13" t="inlineStr">
        <is>
          <t>Payroll</t>
        </is>
      </c>
      <c r="B13" s="5" t="n">
        <v>4792</v>
      </c>
    </row>
    <row r="14">
      <c r="A14" t="inlineStr">
        <is>
          <t>Property Taxes</t>
        </is>
      </c>
      <c r="B14" s="5" t="n">
        <v>3000</v>
      </c>
    </row>
    <row r="15">
      <c r="A15" t="inlineStr">
        <is>
          <t>Electric</t>
        </is>
      </c>
      <c r="B15" s="5" t="n">
        <v>960</v>
      </c>
    </row>
    <row r="16">
      <c r="A16" t="inlineStr">
        <is>
          <t>Gas</t>
        </is>
      </c>
      <c r="B16" s="5" t="n">
        <v>278</v>
      </c>
    </row>
    <row r="17">
      <c r="A17" t="inlineStr">
        <is>
          <t>Water</t>
        </is>
      </c>
      <c r="B17" s="5" t="n">
        <v>991</v>
      </c>
    </row>
    <row r="18">
      <c r="A18" t="inlineStr">
        <is>
          <t>Sewer</t>
        </is>
      </c>
      <c r="B18" s="5" t="n">
        <v>322</v>
      </c>
    </row>
    <row r="19">
      <c r="A19" t="inlineStr">
        <is>
          <t>Trash</t>
        </is>
      </c>
      <c r="B19" s="5" t="n">
        <v>110</v>
      </c>
    </row>
    <row r="20">
      <c r="A20" t="inlineStr">
        <is>
          <t>Consumables</t>
        </is>
      </c>
      <c r="B20" s="5" t="n">
        <v>1000</v>
      </c>
    </row>
    <row r="21">
      <c r="A21" s="4" t="inlineStr">
        <is>
          <t>Total Monthly Expenses:</t>
        </is>
      </c>
      <c r="B21" s="3">
        <f>SUM(B13:B20)</f>
        <v/>
      </c>
    </row>
    <row r="22">
      <c r="A22" t="inlineStr">
        <is>
          <t>Annual Operating Expenses:</t>
        </is>
      </c>
      <c r="B22" s="5">
        <f>B21*12</f>
        <v/>
      </c>
    </row>
    <row r="24">
      <c r="A24" s="2" t="inlineStr">
        <is>
          <t>NET OPERATING INCOME</t>
        </is>
      </c>
    </row>
    <row r="25">
      <c r="A25" t="inlineStr">
        <is>
          <t>Annual NOI:</t>
        </is>
      </c>
      <c r="B25" s="3">
        <f>B10-B22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HISTORICAL RENT ROLL - APRIL 2026</t>
        </is>
      </c>
    </row>
    <row r="3">
      <c r="A3" s="18" t="inlineStr">
        <is>
          <t>Current Baseline Performance</t>
        </is>
      </c>
    </row>
    <row r="5">
      <c r="A5" s="4" t="inlineStr">
        <is>
          <t>Room #</t>
        </is>
      </c>
      <c r="B5" s="4" t="inlineStr">
        <is>
          <t>Tenant Name</t>
        </is>
      </c>
      <c r="C5" s="4" t="inlineStr">
        <is>
          <t>Monthly Rent</t>
        </is>
      </c>
      <c r="D5" s="4" t="inlineStr">
        <is>
          <t>Status</t>
        </is>
      </c>
      <c r="E5" s="4" t="inlineStr">
        <is>
          <t>Notes</t>
        </is>
      </c>
    </row>
    <row r="6">
      <c r="A6" t="n">
        <v>100</v>
      </c>
      <c r="B6" t="inlineStr">
        <is>
          <t>Joy</t>
        </is>
      </c>
      <c r="C6" s="5" t="n">
        <v>700</v>
      </c>
      <c r="D6" t="inlineStr">
        <is>
          <t>Occupied</t>
        </is>
      </c>
    </row>
    <row r="7">
      <c r="A7" t="n">
        <v>101</v>
      </c>
      <c r="B7" t="inlineStr">
        <is>
          <t>Patrick Blasingme</t>
        </is>
      </c>
      <c r="C7" s="5" t="n">
        <v>700</v>
      </c>
      <c r="D7" t="inlineStr">
        <is>
          <t>Occupied</t>
        </is>
      </c>
    </row>
    <row r="8">
      <c r="A8" t="n">
        <v>102</v>
      </c>
      <c r="B8" t="inlineStr">
        <is>
          <t>Jesus Carrion</t>
        </is>
      </c>
      <c r="C8" s="5" t="n">
        <v>700</v>
      </c>
      <c r="D8" t="inlineStr">
        <is>
          <t>Occupied</t>
        </is>
      </c>
    </row>
    <row r="9">
      <c r="A9" t="n">
        <v>103</v>
      </c>
      <c r="B9" t="inlineStr">
        <is>
          <t>Rolando Benavides</t>
        </is>
      </c>
      <c r="C9" s="5" t="n">
        <v>700</v>
      </c>
      <c r="D9" t="inlineStr">
        <is>
          <t>Occupied</t>
        </is>
      </c>
    </row>
    <row r="10">
      <c r="A10" t="n">
        <v>104</v>
      </c>
      <c r="B10" t="inlineStr">
        <is>
          <t>James Hruska</t>
        </is>
      </c>
      <c r="C10" s="5" t="n">
        <v>700</v>
      </c>
      <c r="D10" t="inlineStr">
        <is>
          <t>Occupied</t>
        </is>
      </c>
    </row>
    <row r="11">
      <c r="A11" t="n">
        <v>105</v>
      </c>
      <c r="B11" t="inlineStr">
        <is>
          <t>Mollie Moses</t>
        </is>
      </c>
      <c r="C11" s="5" t="n">
        <v>700</v>
      </c>
      <c r="D11" t="inlineStr">
        <is>
          <t>Occupied</t>
        </is>
      </c>
    </row>
    <row r="12">
      <c r="A12" t="n">
        <v>106</v>
      </c>
      <c r="B12" t="inlineStr">
        <is>
          <t>David Herrera and Laura?</t>
        </is>
      </c>
      <c r="C12" s="5" t="n">
        <v>700</v>
      </c>
      <c r="D12" t="inlineStr">
        <is>
          <t>Occupied</t>
        </is>
      </c>
    </row>
    <row r="13">
      <c r="A13" t="n">
        <v>109</v>
      </c>
      <c r="B13" t="inlineStr">
        <is>
          <t>Dennis Garcia</t>
        </is>
      </c>
      <c r="C13" s="5" t="n">
        <v>640</v>
      </c>
      <c r="D13" t="inlineStr">
        <is>
          <t>Occupied</t>
        </is>
      </c>
    </row>
    <row r="14">
      <c r="A14" t="n">
        <v>110</v>
      </c>
      <c r="B14" t="inlineStr">
        <is>
          <t>Rosendo Zuniga</t>
        </is>
      </c>
      <c r="C14" s="5" t="n">
        <v>640</v>
      </c>
      <c r="D14" t="inlineStr">
        <is>
          <t>Occupied</t>
        </is>
      </c>
    </row>
    <row r="15">
      <c r="A15" t="n">
        <v>111</v>
      </c>
      <c r="B15" t="inlineStr">
        <is>
          <t>Christi Mcginis</t>
        </is>
      </c>
      <c r="C15" s="5" t="n">
        <v>640</v>
      </c>
      <c r="D15" t="inlineStr">
        <is>
          <t>Occupied</t>
        </is>
      </c>
    </row>
    <row r="16">
      <c r="A16" t="n">
        <v>113</v>
      </c>
      <c r="B16" t="inlineStr">
        <is>
          <t>Luis Lira</t>
        </is>
      </c>
      <c r="C16" s="5" t="n">
        <v>640</v>
      </c>
      <c r="D16" t="inlineStr">
        <is>
          <t>Occupied</t>
        </is>
      </c>
    </row>
    <row r="17">
      <c r="A17" t="n">
        <v>216</v>
      </c>
      <c r="B17" t="inlineStr">
        <is>
          <t>Richard Ramon</t>
        </is>
      </c>
      <c r="C17" s="5" t="n">
        <v>640</v>
      </c>
      <c r="D17" t="inlineStr">
        <is>
          <t>Occupied</t>
        </is>
      </c>
    </row>
    <row r="18">
      <c r="A18" t="n">
        <v>217</v>
      </c>
      <c r="B18" t="inlineStr">
        <is>
          <t>Kayla Cheadle</t>
        </is>
      </c>
      <c r="C18" s="5" t="n">
        <v>700</v>
      </c>
      <c r="D18" t="inlineStr">
        <is>
          <t>Occupied</t>
        </is>
      </c>
    </row>
    <row r="19">
      <c r="A19" t="n">
        <v>220</v>
      </c>
      <c r="B19" t="inlineStr">
        <is>
          <t>Bruce Cisneros</t>
        </is>
      </c>
      <c r="C19" s="5" t="n">
        <v>700</v>
      </c>
      <c r="D19" t="inlineStr">
        <is>
          <t>Occupied</t>
        </is>
      </c>
    </row>
    <row r="20">
      <c r="A20" t="n">
        <v>221</v>
      </c>
      <c r="B20" t="inlineStr">
        <is>
          <t>Robert Lee Garza</t>
        </is>
      </c>
      <c r="C20" s="5" t="n">
        <v>700</v>
      </c>
      <c r="D20" t="inlineStr">
        <is>
          <t>Occupied</t>
        </is>
      </c>
    </row>
    <row r="21">
      <c r="A21" t="n">
        <v>228</v>
      </c>
      <c r="B21" t="inlineStr">
        <is>
          <t>Paul Bridgman</t>
        </is>
      </c>
      <c r="C21" s="5" t="n">
        <v>640</v>
      </c>
      <c r="D21" t="inlineStr">
        <is>
          <t>Occupied</t>
        </is>
      </c>
    </row>
    <row r="22">
      <c r="A22" t="n">
        <v>229</v>
      </c>
      <c r="B22" t="inlineStr">
        <is>
          <t>Marcus Reynolds</t>
        </is>
      </c>
      <c r="C22" s="5" t="n">
        <v>640</v>
      </c>
      <c r="D22" t="inlineStr">
        <is>
          <t>Occupied</t>
        </is>
      </c>
    </row>
    <row r="23">
      <c r="A23" t="n">
        <v>230</v>
      </c>
      <c r="B23" t="inlineStr">
        <is>
          <t>Angel Uribe</t>
        </is>
      </c>
      <c r="C23" s="5" t="n">
        <v>640</v>
      </c>
      <c r="D23" t="inlineStr">
        <is>
          <t>Occupied</t>
        </is>
      </c>
    </row>
    <row r="24">
      <c r="A24" s="4" t="inlineStr">
        <is>
          <t>TOTAL OCCUPIED:</t>
        </is>
      </c>
      <c r="B24" s="4" t="n">
        <v>18</v>
      </c>
    </row>
    <row r="25">
      <c r="A25" s="4" t="inlineStr">
        <is>
          <t>TOTAL MONTHLY RENT:</t>
        </is>
      </c>
      <c r="C25" s="3">
        <f>SUM(C6:C23)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RENOVATION SCHEDULE - 6 MONTH TIMELINE</t>
        </is>
      </c>
    </row>
    <row r="3">
      <c r="A3" t="inlineStr">
        <is>
          <t>Rooms to Renovate: 43 (7 light, 36 full)</t>
        </is>
      </c>
    </row>
    <row r="4">
      <c r="A4" t="inlineStr">
        <is>
          <t>Average: 7.17 rooms per month</t>
        </is>
      </c>
    </row>
    <row r="6">
      <c r="A6" s="4" t="inlineStr">
        <is>
          <t>Month</t>
        </is>
      </c>
      <c r="B6" s="4" t="inlineStr">
        <is>
          <t>Rooms Completed</t>
        </is>
      </c>
      <c r="C6" s="4" t="inlineStr">
        <is>
          <t>Cumulative Online</t>
        </is>
      </c>
      <c r="D6" s="4" t="inlineStr">
        <is>
          <t>Total Rooms Available</t>
        </is>
      </c>
      <c r="E6" s="4" t="inlineStr">
        <is>
          <t>Notes</t>
        </is>
      </c>
    </row>
    <row r="7">
      <c r="A7" t="n">
        <v>0</v>
      </c>
      <c r="B7" t="n">
        <v>0</v>
      </c>
      <c r="C7" t="n">
        <v>0</v>
      </c>
      <c r="D7" t="n">
        <v>24</v>
      </c>
      <c r="E7" t="inlineStr">
        <is>
          <t>Baseline - 24 rooms currently available</t>
        </is>
      </c>
    </row>
    <row r="8">
      <c r="A8" t="n">
        <v>1</v>
      </c>
      <c r="B8" t="n">
        <v>7</v>
      </c>
      <c r="C8" t="n">
        <v>7</v>
      </c>
      <c r="D8" t="n">
        <v>31</v>
      </c>
      <c r="E8" t="inlineStr">
        <is>
          <t>Begin renovation - light reno rooms prioritized</t>
        </is>
      </c>
    </row>
    <row r="9">
      <c r="A9" t="n">
        <v>2</v>
      </c>
      <c r="B9" t="n">
        <v>7</v>
      </c>
      <c r="C9" t="n">
        <v>14</v>
      </c>
      <c r="D9" t="n">
        <v>38</v>
      </c>
    </row>
    <row r="10">
      <c r="A10" t="n">
        <v>3</v>
      </c>
      <c r="B10" t="n">
        <v>7</v>
      </c>
      <c r="C10" t="n">
        <v>21</v>
      </c>
      <c r="D10" t="n">
        <v>45</v>
      </c>
      <c r="E10" t="inlineStr">
        <is>
          <t>Halfway point</t>
        </is>
      </c>
    </row>
    <row r="11">
      <c r="A11" t="n">
        <v>4</v>
      </c>
      <c r="B11" t="n">
        <v>7</v>
      </c>
      <c r="C11" t="n">
        <v>28</v>
      </c>
      <c r="D11" t="n">
        <v>52</v>
      </c>
    </row>
    <row r="12">
      <c r="A12" t="n">
        <v>5</v>
      </c>
      <c r="B12" t="n">
        <v>7</v>
      </c>
      <c r="C12" t="n">
        <v>35</v>
      </c>
      <c r="D12" t="n">
        <v>59</v>
      </c>
    </row>
    <row r="13">
      <c r="A13" t="n">
        <v>6</v>
      </c>
      <c r="B13" t="n">
        <v>7</v>
      </c>
      <c r="C13" t="n">
        <v>42</v>
      </c>
      <c r="D13" t="n">
        <v>66</v>
      </c>
      <c r="E13" t="inlineStr">
        <is>
          <t>Renovation complete - 67 rooms total</t>
        </is>
      </c>
    </row>
    <row r="14">
      <c r="A14" s="4" t="inlineStr">
        <is>
          <t>POST-RENOVATION:</t>
        </is>
      </c>
      <c r="D14" s="4" t="n">
        <v>67</v>
      </c>
      <c r="E14" t="inlineStr">
        <is>
          <t>All rooms available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3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10-YEAR MONTHLY CASH FLOW PROJECTIONS</t>
        </is>
      </c>
    </row>
    <row r="3">
      <c r="A3" s="4" t="inlineStr">
        <is>
          <t>Year</t>
        </is>
      </c>
      <c r="B3" s="4" t="inlineStr">
        <is>
          <t>Mo</t>
        </is>
      </c>
      <c r="C3" s="4" t="inlineStr">
        <is>
          <t>Rooms Avail</t>
        </is>
      </c>
      <c r="D3" s="4" t="inlineStr">
        <is>
          <t>Occ %</t>
        </is>
      </c>
      <c r="E3" s="4" t="inlineStr">
        <is>
          <t>Avg Rent</t>
        </is>
      </c>
      <c r="F3" s="4" t="inlineStr">
        <is>
          <t>Room Revenue</t>
        </is>
      </c>
      <c r="G3" s="4" t="inlineStr">
        <is>
          <t>Laundry Rev</t>
        </is>
      </c>
      <c r="H3" s="4" t="inlineStr">
        <is>
          <t>Total Revenue</t>
        </is>
      </c>
      <c r="I3" s="4" t="inlineStr">
        <is>
          <t>Op Expenses</t>
        </is>
      </c>
      <c r="J3" s="4" t="inlineStr">
        <is>
          <t>NOI</t>
        </is>
      </c>
      <c r="K3" s="4" t="inlineStr">
        <is>
          <t>Debt Service</t>
        </is>
      </c>
      <c r="L3" s="4" t="inlineStr">
        <is>
          <t>Cash Flow</t>
        </is>
      </c>
      <c r="M3" s="4" t="inlineStr">
        <is>
          <t>DSCR</t>
        </is>
      </c>
    </row>
    <row r="4">
      <c r="A4" t="n">
        <v>1</v>
      </c>
      <c r="B4" t="n">
        <v>1</v>
      </c>
      <c r="C4" t="n">
        <v>24</v>
      </c>
      <c r="D4" s="10" t="n">
        <v>0.5625</v>
      </c>
      <c r="E4" s="5" t="n">
        <v>852</v>
      </c>
      <c r="F4" s="5">
        <f>C4*D4*E4</f>
        <v/>
      </c>
      <c r="G4" s="5">
        <f>'Laundry Revenue'!I10</f>
        <v/>
      </c>
      <c r="H4" s="5">
        <f>F4+G4</f>
        <v/>
      </c>
      <c r="I4" s="5">
        <f>C4*344</f>
        <v/>
      </c>
      <c r="J4" s="5">
        <f>H4-I4</f>
        <v/>
      </c>
      <c r="K4" s="7" t="n">
        <v>6281.43</v>
      </c>
      <c r="L4" s="5">
        <f>J4-K4</f>
        <v/>
      </c>
      <c r="M4" s="11">
        <f>IF(K4=0,0,J4/K4)</f>
        <v/>
      </c>
    </row>
    <row r="5">
      <c r="A5" t="n">
        <v>1</v>
      </c>
      <c r="B5" t="n">
        <v>2</v>
      </c>
      <c r="C5" t="n">
        <v>31</v>
      </c>
      <c r="D5" s="10" t="n">
        <v>0.5625</v>
      </c>
      <c r="E5" s="5" t="n">
        <v>852</v>
      </c>
      <c r="F5" s="5">
        <f>C5*D5*E5</f>
        <v/>
      </c>
      <c r="G5" s="5">
        <f>'Laundry Revenue'!I11</f>
        <v/>
      </c>
      <c r="H5" s="5">
        <f>F5+G5</f>
        <v/>
      </c>
      <c r="I5" s="5">
        <f>C5*344</f>
        <v/>
      </c>
      <c r="J5" s="5">
        <f>H5-I5</f>
        <v/>
      </c>
      <c r="K5" s="7" t="n">
        <v>6281.43</v>
      </c>
      <c r="L5" s="5">
        <f>J5-K5</f>
        <v/>
      </c>
      <c r="M5" s="11">
        <f>IF(K5=0,0,J5/K5)</f>
        <v/>
      </c>
    </row>
    <row r="6">
      <c r="A6" t="n">
        <v>1</v>
      </c>
      <c r="B6" t="n">
        <v>3</v>
      </c>
      <c r="C6" t="n">
        <v>38</v>
      </c>
      <c r="D6" s="10" t="n">
        <v>0.5625</v>
      </c>
      <c r="E6" s="5" t="n">
        <v>852</v>
      </c>
      <c r="F6" s="5">
        <f>C6*D6*E6</f>
        <v/>
      </c>
      <c r="G6" s="5">
        <f>'Laundry Revenue'!I12</f>
        <v/>
      </c>
      <c r="H6" s="5">
        <f>F6+G6</f>
        <v/>
      </c>
      <c r="I6" s="5">
        <f>C6*344</f>
        <v/>
      </c>
      <c r="J6" s="5">
        <f>H6-I6</f>
        <v/>
      </c>
      <c r="K6" s="7" t="n">
        <v>6281.43</v>
      </c>
      <c r="L6" s="5">
        <f>J6-K6</f>
        <v/>
      </c>
      <c r="M6" s="11">
        <f>IF(K6=0,0,J6/K6)</f>
        <v/>
      </c>
    </row>
    <row r="7">
      <c r="A7" t="n">
        <v>1</v>
      </c>
      <c r="B7" t="n">
        <v>4</v>
      </c>
      <c r="C7" t="n">
        <v>46</v>
      </c>
      <c r="D7" s="10" t="n">
        <v>0.5625</v>
      </c>
      <c r="E7" s="5" t="n">
        <v>852</v>
      </c>
      <c r="F7" s="5">
        <f>C7*D7*E7</f>
        <v/>
      </c>
      <c r="G7" s="5">
        <f>'Laundry Revenue'!I13</f>
        <v/>
      </c>
      <c r="H7" s="5">
        <f>F7+G7</f>
        <v/>
      </c>
      <c r="I7" s="5">
        <f>C7*344</f>
        <v/>
      </c>
      <c r="J7" s="5">
        <f>H7-I7</f>
        <v/>
      </c>
      <c r="K7" s="7" t="n">
        <v>6281.43</v>
      </c>
      <c r="L7" s="5">
        <f>J7-K7</f>
        <v/>
      </c>
      <c r="M7" s="11">
        <f>IF(K7=0,0,J7/K7)</f>
        <v/>
      </c>
    </row>
    <row r="8">
      <c r="A8" t="n">
        <v>1</v>
      </c>
      <c r="B8" t="n">
        <v>5</v>
      </c>
      <c r="C8" t="n">
        <v>53</v>
      </c>
      <c r="D8" s="10" t="n">
        <v>0.5625</v>
      </c>
      <c r="E8" s="5" t="n">
        <v>852</v>
      </c>
      <c r="F8" s="5">
        <f>C8*D8*E8</f>
        <v/>
      </c>
      <c r="G8" s="5">
        <f>'Laundry Revenue'!I14</f>
        <v/>
      </c>
      <c r="H8" s="5">
        <f>F8+G8</f>
        <v/>
      </c>
      <c r="I8" s="5">
        <f>C8*344</f>
        <v/>
      </c>
      <c r="J8" s="5">
        <f>H8-I8</f>
        <v/>
      </c>
      <c r="K8" s="7" t="n">
        <v>6281.43</v>
      </c>
      <c r="L8" s="5">
        <f>J8-K8</f>
        <v/>
      </c>
      <c r="M8" s="11">
        <f>IF(K8=0,0,J8/K8)</f>
        <v/>
      </c>
    </row>
    <row r="9">
      <c r="A9" t="n">
        <v>1</v>
      </c>
      <c r="B9" t="n">
        <v>6</v>
      </c>
      <c r="C9" t="n">
        <v>60</v>
      </c>
      <c r="D9" s="10" t="n">
        <v>0.5625</v>
      </c>
      <c r="E9" s="5" t="n">
        <v>852</v>
      </c>
      <c r="F9" s="5">
        <f>C9*D9*E9</f>
        <v/>
      </c>
      <c r="G9" s="5">
        <f>'Laundry Revenue'!I15</f>
        <v/>
      </c>
      <c r="H9" s="5">
        <f>F9+G9</f>
        <v/>
      </c>
      <c r="I9" s="5">
        <f>C9*344</f>
        <v/>
      </c>
      <c r="J9" s="5">
        <f>H9-I9</f>
        <v/>
      </c>
      <c r="K9" s="7" t="n">
        <v>6281.43</v>
      </c>
      <c r="L9" s="5">
        <f>J9-K9</f>
        <v/>
      </c>
      <c r="M9" s="11">
        <f>IF(K9=0,0,J9/K9)</f>
        <v/>
      </c>
    </row>
    <row r="10">
      <c r="A10" t="n">
        <v>1</v>
      </c>
      <c r="B10" t="n">
        <v>7</v>
      </c>
      <c r="C10" t="n">
        <v>67</v>
      </c>
      <c r="D10" s="10" t="n">
        <v>0.7</v>
      </c>
      <c r="E10" s="5" t="n">
        <v>850</v>
      </c>
      <c r="F10" s="5">
        <f>C10*D10*E10</f>
        <v/>
      </c>
      <c r="G10" s="5">
        <f>'Laundry Revenue'!I16</f>
        <v/>
      </c>
      <c r="H10" s="5">
        <f>F10+G10</f>
        <v/>
      </c>
      <c r="I10" s="5">
        <f>C10*344</f>
        <v/>
      </c>
      <c r="J10" s="5">
        <f>H10-I10</f>
        <v/>
      </c>
      <c r="K10" s="7" t="n">
        <v>6281.43</v>
      </c>
      <c r="L10" s="5">
        <f>J10-K10</f>
        <v/>
      </c>
      <c r="M10" s="11">
        <f>IF(K10=0,0,J10/K10)</f>
        <v/>
      </c>
    </row>
    <row r="11">
      <c r="A11" t="n">
        <v>1</v>
      </c>
      <c r="B11" t="n">
        <v>8</v>
      </c>
      <c r="C11" t="n">
        <v>67</v>
      </c>
      <c r="D11" s="10" t="n">
        <v>0.7083299999999999</v>
      </c>
      <c r="E11" s="5" t="n">
        <v>850</v>
      </c>
      <c r="F11" s="5">
        <f>C11*D11*E11</f>
        <v/>
      </c>
      <c r="G11" s="5">
        <f>'Laundry Revenue'!I17</f>
        <v/>
      </c>
      <c r="H11" s="5">
        <f>F11+G11</f>
        <v/>
      </c>
      <c r="I11" s="5">
        <f>C11*344</f>
        <v/>
      </c>
      <c r="J11" s="5">
        <f>H11-I11</f>
        <v/>
      </c>
      <c r="K11" s="7" t="n">
        <v>6281.43</v>
      </c>
      <c r="L11" s="5">
        <f>J11-K11</f>
        <v/>
      </c>
      <c r="M11" s="11">
        <f>IF(K11=0,0,J11/K11)</f>
        <v/>
      </c>
    </row>
    <row r="12">
      <c r="A12" t="n">
        <v>1</v>
      </c>
      <c r="B12" t="n">
        <v>9</v>
      </c>
      <c r="C12" t="n">
        <v>67</v>
      </c>
      <c r="D12" s="10" t="n">
        <v>0.71666</v>
      </c>
      <c r="E12" s="5" t="n">
        <v>850</v>
      </c>
      <c r="F12" s="5">
        <f>C12*D12*E12</f>
        <v/>
      </c>
      <c r="G12" s="5">
        <f>'Laundry Revenue'!I18</f>
        <v/>
      </c>
      <c r="H12" s="5">
        <f>F12+G12</f>
        <v/>
      </c>
      <c r="I12" s="5">
        <f>C12*344</f>
        <v/>
      </c>
      <c r="J12" s="5">
        <f>H12-I12</f>
        <v/>
      </c>
      <c r="K12" s="7" t="n">
        <v>6281.43</v>
      </c>
      <c r="L12" s="5">
        <f>J12-K12</f>
        <v/>
      </c>
      <c r="M12" s="11">
        <f>IF(K12=0,0,J12/K12)</f>
        <v/>
      </c>
    </row>
    <row r="13">
      <c r="A13" t="n">
        <v>1</v>
      </c>
      <c r="B13" t="n">
        <v>10</v>
      </c>
      <c r="C13" t="n">
        <v>67</v>
      </c>
      <c r="D13" s="10" t="n">
        <v>0.7249899999999999</v>
      </c>
      <c r="E13" s="5" t="n">
        <v>850</v>
      </c>
      <c r="F13" s="5">
        <f>C13*D13*E13</f>
        <v/>
      </c>
      <c r="G13" s="5">
        <f>'Laundry Revenue'!I19</f>
        <v/>
      </c>
      <c r="H13" s="5">
        <f>F13+G13</f>
        <v/>
      </c>
      <c r="I13" s="5">
        <f>C13*344</f>
        <v/>
      </c>
      <c r="J13" s="5">
        <f>H13-I13</f>
        <v/>
      </c>
      <c r="K13" s="7" t="n">
        <v>6281.43</v>
      </c>
      <c r="L13" s="5">
        <f>J13-K13</f>
        <v/>
      </c>
      <c r="M13" s="11">
        <f>IF(K13=0,0,J13/K13)</f>
        <v/>
      </c>
    </row>
    <row r="14">
      <c r="A14" t="n">
        <v>1</v>
      </c>
      <c r="B14" t="n">
        <v>11</v>
      </c>
      <c r="C14" t="n">
        <v>67</v>
      </c>
      <c r="D14" s="10" t="n">
        <v>0.73332</v>
      </c>
      <c r="E14" s="5" t="n">
        <v>850</v>
      </c>
      <c r="F14" s="5">
        <f>C14*D14*E14</f>
        <v/>
      </c>
      <c r="G14" s="5">
        <f>'Laundry Revenue'!I20</f>
        <v/>
      </c>
      <c r="H14" s="5">
        <f>F14+G14</f>
        <v/>
      </c>
      <c r="I14" s="5">
        <f>C14*344</f>
        <v/>
      </c>
      <c r="J14" s="5">
        <f>H14-I14</f>
        <v/>
      </c>
      <c r="K14" s="7" t="n">
        <v>6281.43</v>
      </c>
      <c r="L14" s="5">
        <f>J14-K14</f>
        <v/>
      </c>
      <c r="M14" s="11">
        <f>IF(K14=0,0,J14/K14)</f>
        <v/>
      </c>
    </row>
    <row r="15">
      <c r="A15" t="n">
        <v>1</v>
      </c>
      <c r="B15" t="n">
        <v>12</v>
      </c>
      <c r="C15" t="n">
        <v>67</v>
      </c>
      <c r="D15" s="10" t="n">
        <v>0.7416499999999999</v>
      </c>
      <c r="E15" s="5" t="n">
        <v>850</v>
      </c>
      <c r="F15" s="5">
        <f>C15*D15*E15</f>
        <v/>
      </c>
      <c r="G15" s="5">
        <f>'Laundry Revenue'!I21</f>
        <v/>
      </c>
      <c r="H15" s="5">
        <f>F15+G15</f>
        <v/>
      </c>
      <c r="I15" s="5">
        <f>C15*344</f>
        <v/>
      </c>
      <c r="J15" s="5">
        <f>H15-I15</f>
        <v/>
      </c>
      <c r="K15" s="7" t="n">
        <v>6281.43</v>
      </c>
      <c r="L15" s="5">
        <f>J15-K15</f>
        <v/>
      </c>
      <c r="M15" s="11">
        <f>IF(K15=0,0,J15/K15)</f>
        <v/>
      </c>
    </row>
    <row r="16">
      <c r="A16" t="n">
        <v>2</v>
      </c>
      <c r="B16" t="n">
        <v>1</v>
      </c>
      <c r="C16" t="n">
        <v>67</v>
      </c>
      <c r="D16" s="10" t="n">
        <v>0.74998</v>
      </c>
      <c r="E16" s="5" t="n">
        <v>850</v>
      </c>
      <c r="F16" s="5">
        <f>C16*D16*E16</f>
        <v/>
      </c>
      <c r="G16" s="5">
        <f>'Laundry Revenue'!I22</f>
        <v/>
      </c>
      <c r="H16" s="5">
        <f>F16+G16</f>
        <v/>
      </c>
      <c r="I16" s="5">
        <f>C16*344</f>
        <v/>
      </c>
      <c r="J16" s="5">
        <f>H16-I16</f>
        <v/>
      </c>
      <c r="K16" s="7" t="n">
        <v>6281.43</v>
      </c>
      <c r="L16" s="5">
        <f>J16-K16</f>
        <v/>
      </c>
      <c r="M16" s="11">
        <f>IF(K16=0,0,J16/K16)</f>
        <v/>
      </c>
    </row>
    <row r="17">
      <c r="A17" t="n">
        <v>2</v>
      </c>
      <c r="B17" t="n">
        <v>2</v>
      </c>
      <c r="C17" t="n">
        <v>67</v>
      </c>
      <c r="D17" s="10" t="n">
        <v>0.7583099999999999</v>
      </c>
      <c r="E17" s="5" t="n">
        <v>850</v>
      </c>
      <c r="F17" s="5">
        <f>C17*D17*E17</f>
        <v/>
      </c>
      <c r="G17" s="5">
        <f>'Laundry Revenue'!I23</f>
        <v/>
      </c>
      <c r="H17" s="5">
        <f>F17+G17</f>
        <v/>
      </c>
      <c r="I17" s="5">
        <f>C17*344</f>
        <v/>
      </c>
      <c r="J17" s="5">
        <f>H17-I17</f>
        <v/>
      </c>
      <c r="K17" s="7" t="n">
        <v>6281.43</v>
      </c>
      <c r="L17" s="5">
        <f>J17-K17</f>
        <v/>
      </c>
      <c r="M17" s="11">
        <f>IF(K17=0,0,J17/K17)</f>
        <v/>
      </c>
    </row>
    <row r="18">
      <c r="A18" t="n">
        <v>2</v>
      </c>
      <c r="B18" t="n">
        <v>3</v>
      </c>
      <c r="C18" t="n">
        <v>67</v>
      </c>
      <c r="D18" s="10" t="n">
        <v>0.76664</v>
      </c>
      <c r="E18" s="5" t="n">
        <v>850</v>
      </c>
      <c r="F18" s="5">
        <f>C18*D18*E18</f>
        <v/>
      </c>
      <c r="G18" s="5">
        <f>'Laundry Revenue'!I24</f>
        <v/>
      </c>
      <c r="H18" s="5">
        <f>F18+G18</f>
        <v/>
      </c>
      <c r="I18" s="5">
        <f>C18*344</f>
        <v/>
      </c>
      <c r="J18" s="5">
        <f>H18-I18</f>
        <v/>
      </c>
      <c r="K18" s="7" t="n">
        <v>6281.43</v>
      </c>
      <c r="L18" s="5">
        <f>J18-K18</f>
        <v/>
      </c>
      <c r="M18" s="11">
        <f>IF(K18=0,0,J18/K18)</f>
        <v/>
      </c>
    </row>
    <row r="19">
      <c r="A19" t="n">
        <v>2</v>
      </c>
      <c r="B19" t="n">
        <v>4</v>
      </c>
      <c r="C19" t="n">
        <v>67</v>
      </c>
      <c r="D19" s="10" t="n">
        <v>0.7749699999999999</v>
      </c>
      <c r="E19" s="5" t="n">
        <v>850</v>
      </c>
      <c r="F19" s="5">
        <f>C19*D19*E19</f>
        <v/>
      </c>
      <c r="G19" s="5">
        <f>'Laundry Revenue'!I25</f>
        <v/>
      </c>
      <c r="H19" s="5">
        <f>F19+G19</f>
        <v/>
      </c>
      <c r="I19" s="5">
        <f>C19*344</f>
        <v/>
      </c>
      <c r="J19" s="5">
        <f>H19-I19</f>
        <v/>
      </c>
      <c r="K19" s="7" t="n">
        <v>6281.43</v>
      </c>
      <c r="L19" s="5">
        <f>J19-K19</f>
        <v/>
      </c>
      <c r="M19" s="11">
        <f>IF(K19=0,0,J19/K19)</f>
        <v/>
      </c>
    </row>
    <row r="20">
      <c r="A20" t="n">
        <v>2</v>
      </c>
      <c r="B20" t="n">
        <v>5</v>
      </c>
      <c r="C20" t="n">
        <v>67</v>
      </c>
      <c r="D20" s="10" t="n">
        <v>0.7833</v>
      </c>
      <c r="E20" s="5" t="n">
        <v>850</v>
      </c>
      <c r="F20" s="5">
        <f>C20*D20*E20</f>
        <v/>
      </c>
      <c r="G20" s="5">
        <f>'Laundry Revenue'!I26</f>
        <v/>
      </c>
      <c r="H20" s="5">
        <f>F20+G20</f>
        <v/>
      </c>
      <c r="I20" s="5">
        <f>C20*344</f>
        <v/>
      </c>
      <c r="J20" s="5">
        <f>H20-I20</f>
        <v/>
      </c>
      <c r="K20" s="7" t="n">
        <v>6281.43</v>
      </c>
      <c r="L20" s="5">
        <f>J20-K20</f>
        <v/>
      </c>
      <c r="M20" s="11">
        <f>IF(K20=0,0,J20/K20)</f>
        <v/>
      </c>
    </row>
    <row r="21">
      <c r="A21" t="n">
        <v>2</v>
      </c>
      <c r="B21" t="n">
        <v>6</v>
      </c>
      <c r="C21" t="n">
        <v>67</v>
      </c>
      <c r="D21" s="10" t="n">
        <v>0.7916299999999999</v>
      </c>
      <c r="E21" s="5" t="n">
        <v>850</v>
      </c>
      <c r="F21" s="5">
        <f>C21*D21*E21</f>
        <v/>
      </c>
      <c r="G21" s="5">
        <f>'Laundry Revenue'!I27</f>
        <v/>
      </c>
      <c r="H21" s="5">
        <f>F21+G21</f>
        <v/>
      </c>
      <c r="I21" s="5">
        <f>C21*344</f>
        <v/>
      </c>
      <c r="J21" s="5">
        <f>H21-I21</f>
        <v/>
      </c>
      <c r="K21" s="7" t="n">
        <v>6281.43</v>
      </c>
      <c r="L21" s="5">
        <f>J21-K21</f>
        <v/>
      </c>
      <c r="M21" s="11">
        <f>IF(K21=0,0,J21/K21)</f>
        <v/>
      </c>
    </row>
    <row r="22">
      <c r="A22" t="n">
        <v>2</v>
      </c>
      <c r="B22" t="n">
        <v>7</v>
      </c>
      <c r="C22" t="n">
        <v>67</v>
      </c>
      <c r="D22" s="10" t="n">
        <v>0.8</v>
      </c>
      <c r="E22" s="5" t="n">
        <v>850</v>
      </c>
      <c r="F22" s="5">
        <f>C22*D22*E22</f>
        <v/>
      </c>
      <c r="G22" s="5">
        <f>'Laundry Revenue'!I28</f>
        <v/>
      </c>
      <c r="H22" s="5">
        <f>F22+G22</f>
        <v/>
      </c>
      <c r="I22" s="5">
        <f>C22*344</f>
        <v/>
      </c>
      <c r="J22" s="5">
        <f>H22-I22</f>
        <v/>
      </c>
      <c r="K22" s="7" t="n">
        <v>6281.43</v>
      </c>
      <c r="L22" s="5">
        <f>J22-K22</f>
        <v/>
      </c>
      <c r="M22" s="11">
        <f>IF(K22=0,0,J22/K22)</f>
        <v/>
      </c>
    </row>
    <row r="23">
      <c r="A23" t="n">
        <v>2</v>
      </c>
      <c r="B23" t="n">
        <v>8</v>
      </c>
      <c r="C23" t="n">
        <v>67</v>
      </c>
      <c r="D23" s="10" t="n">
        <v>0.8</v>
      </c>
      <c r="E23" s="5" t="n">
        <v>850</v>
      </c>
      <c r="F23" s="5">
        <f>C23*D23*E23</f>
        <v/>
      </c>
      <c r="G23" s="5">
        <f>'Laundry Revenue'!I29</f>
        <v/>
      </c>
      <c r="H23" s="5">
        <f>F23+G23</f>
        <v/>
      </c>
      <c r="I23" s="5">
        <f>C23*344</f>
        <v/>
      </c>
      <c r="J23" s="5">
        <f>H23-I23</f>
        <v/>
      </c>
      <c r="K23" s="7" t="n">
        <v>6281.43</v>
      </c>
      <c r="L23" s="5">
        <f>J23-K23</f>
        <v/>
      </c>
      <c r="M23" s="11">
        <f>IF(K23=0,0,J23/K23)</f>
        <v/>
      </c>
    </row>
    <row r="24">
      <c r="A24" t="n">
        <v>2</v>
      </c>
      <c r="B24" t="n">
        <v>9</v>
      </c>
      <c r="C24" t="n">
        <v>67</v>
      </c>
      <c r="D24" s="10" t="n">
        <v>0.8</v>
      </c>
      <c r="E24" s="5" t="n">
        <v>850</v>
      </c>
      <c r="F24" s="5">
        <f>C24*D24*E24</f>
        <v/>
      </c>
      <c r="G24" s="5">
        <f>'Laundry Revenue'!I30</f>
        <v/>
      </c>
      <c r="H24" s="5">
        <f>F24+G24</f>
        <v/>
      </c>
      <c r="I24" s="5">
        <f>C24*344</f>
        <v/>
      </c>
      <c r="J24" s="5">
        <f>H24-I24</f>
        <v/>
      </c>
      <c r="K24" s="7" t="n">
        <v>6281.43</v>
      </c>
      <c r="L24" s="5">
        <f>J24-K24</f>
        <v/>
      </c>
      <c r="M24" s="11">
        <f>IF(K24=0,0,J24/K24)</f>
        <v/>
      </c>
    </row>
    <row r="25">
      <c r="A25" t="n">
        <v>2</v>
      </c>
      <c r="B25" t="n">
        <v>10</v>
      </c>
      <c r="C25" t="n">
        <v>67</v>
      </c>
      <c r="D25" s="10" t="n">
        <v>0.8</v>
      </c>
      <c r="E25" s="5" t="n">
        <v>850</v>
      </c>
      <c r="F25" s="5">
        <f>C25*D25*E25</f>
        <v/>
      </c>
      <c r="G25" s="5">
        <f>'Laundry Revenue'!I31</f>
        <v/>
      </c>
      <c r="H25" s="5">
        <f>F25+G25</f>
        <v/>
      </c>
      <c r="I25" s="5">
        <f>C25*344</f>
        <v/>
      </c>
      <c r="J25" s="5">
        <f>H25-I25</f>
        <v/>
      </c>
      <c r="K25" s="7" t="n">
        <v>6281.43</v>
      </c>
      <c r="L25" s="5">
        <f>J25-K25</f>
        <v/>
      </c>
      <c r="M25" s="11">
        <f>IF(K25=0,0,J25/K25)</f>
        <v/>
      </c>
    </row>
    <row r="26">
      <c r="A26" t="n">
        <v>2</v>
      </c>
      <c r="B26" t="n">
        <v>11</v>
      </c>
      <c r="C26" t="n">
        <v>67</v>
      </c>
      <c r="D26" s="10" t="n">
        <v>0.8</v>
      </c>
      <c r="E26" s="5" t="n">
        <v>850</v>
      </c>
      <c r="F26" s="5">
        <f>C26*D26*E26</f>
        <v/>
      </c>
      <c r="G26" s="5">
        <f>'Laundry Revenue'!I32</f>
        <v/>
      </c>
      <c r="H26" s="5">
        <f>F26+G26</f>
        <v/>
      </c>
      <c r="I26" s="5">
        <f>C26*344</f>
        <v/>
      </c>
      <c r="J26" s="5">
        <f>H26-I26</f>
        <v/>
      </c>
      <c r="K26" s="7" t="n">
        <v>6281.43</v>
      </c>
      <c r="L26" s="5">
        <f>J26-K26</f>
        <v/>
      </c>
      <c r="M26" s="11">
        <f>IF(K26=0,0,J26/K26)</f>
        <v/>
      </c>
    </row>
    <row r="27">
      <c r="A27" t="n">
        <v>2</v>
      </c>
      <c r="B27" t="n">
        <v>12</v>
      </c>
      <c r="C27" t="n">
        <v>67</v>
      </c>
      <c r="D27" s="10" t="n">
        <v>0.8</v>
      </c>
      <c r="E27" s="5" t="n">
        <v>850</v>
      </c>
      <c r="F27" s="5">
        <f>C27*D27*E27</f>
        <v/>
      </c>
      <c r="G27" s="5">
        <f>'Laundry Revenue'!I33</f>
        <v/>
      </c>
      <c r="H27" s="5">
        <f>F27+G27</f>
        <v/>
      </c>
      <c r="I27" s="5">
        <f>C27*344</f>
        <v/>
      </c>
      <c r="J27" s="5">
        <f>H27-I27</f>
        <v/>
      </c>
      <c r="K27" s="7" t="n">
        <v>6281.43</v>
      </c>
      <c r="L27" s="5">
        <f>J27-K27</f>
        <v/>
      </c>
      <c r="M27" s="11">
        <f>IF(K27=0,0,J27/K27)</f>
        <v/>
      </c>
    </row>
    <row r="28">
      <c r="A28" t="n">
        <v>3</v>
      </c>
      <c r="B28" t="n">
        <v>1</v>
      </c>
      <c r="C28" t="n">
        <v>67</v>
      </c>
      <c r="D28" s="10" t="n">
        <v>0.8</v>
      </c>
      <c r="E28" s="5" t="n">
        <v>850</v>
      </c>
      <c r="F28" s="5">
        <f>C28*D28*E28</f>
        <v/>
      </c>
      <c r="G28" s="5">
        <f>'Laundry Revenue'!I34</f>
        <v/>
      </c>
      <c r="H28" s="5">
        <f>F28+G28</f>
        <v/>
      </c>
      <c r="I28" s="5">
        <f>C28*344</f>
        <v/>
      </c>
      <c r="J28" s="5">
        <f>H28-I28</f>
        <v/>
      </c>
      <c r="K28" s="7" t="n">
        <v>6281.43</v>
      </c>
      <c r="L28" s="5">
        <f>J28-K28</f>
        <v/>
      </c>
      <c r="M28" s="11">
        <f>IF(K28=0,0,J28/K28)</f>
        <v/>
      </c>
    </row>
    <row r="29">
      <c r="A29" t="n">
        <v>3</v>
      </c>
      <c r="B29" t="n">
        <v>2</v>
      </c>
      <c r="C29" t="n">
        <v>67</v>
      </c>
      <c r="D29" s="10" t="n">
        <v>0.8</v>
      </c>
      <c r="E29" s="5" t="n">
        <v>850</v>
      </c>
      <c r="F29" s="5">
        <f>C29*D29*E29</f>
        <v/>
      </c>
      <c r="G29" s="5">
        <f>'Laundry Revenue'!I35</f>
        <v/>
      </c>
      <c r="H29" s="5">
        <f>F29+G29</f>
        <v/>
      </c>
      <c r="I29" s="5">
        <f>C29*344</f>
        <v/>
      </c>
      <c r="J29" s="5">
        <f>H29-I29</f>
        <v/>
      </c>
      <c r="K29" s="7" t="n">
        <v>6281.43</v>
      </c>
      <c r="L29" s="5">
        <f>J29-K29</f>
        <v/>
      </c>
      <c r="M29" s="11">
        <f>IF(K29=0,0,J29/K29)</f>
        <v/>
      </c>
    </row>
    <row r="30">
      <c r="A30" t="n">
        <v>3</v>
      </c>
      <c r="B30" t="n">
        <v>3</v>
      </c>
      <c r="C30" t="n">
        <v>67</v>
      </c>
      <c r="D30" s="10" t="n">
        <v>0.8</v>
      </c>
      <c r="E30" s="5" t="n">
        <v>850</v>
      </c>
      <c r="F30" s="5">
        <f>C30*D30*E30</f>
        <v/>
      </c>
      <c r="G30" s="5">
        <f>'Laundry Revenue'!I36</f>
        <v/>
      </c>
      <c r="H30" s="5">
        <f>F30+G30</f>
        <v/>
      </c>
      <c r="I30" s="5">
        <f>C30*344</f>
        <v/>
      </c>
      <c r="J30" s="5">
        <f>H30-I30</f>
        <v/>
      </c>
      <c r="K30" s="7" t="n">
        <v>6281.43</v>
      </c>
      <c r="L30" s="5">
        <f>J30-K30</f>
        <v/>
      </c>
      <c r="M30" s="11">
        <f>IF(K30=0,0,J30/K30)</f>
        <v/>
      </c>
    </row>
    <row r="31">
      <c r="A31" t="n">
        <v>3</v>
      </c>
      <c r="B31" t="n">
        <v>4</v>
      </c>
      <c r="C31" t="n">
        <v>67</v>
      </c>
      <c r="D31" s="10" t="n">
        <v>0.8</v>
      </c>
      <c r="E31" s="5" t="n">
        <v>850</v>
      </c>
      <c r="F31" s="5">
        <f>C31*D31*E31</f>
        <v/>
      </c>
      <c r="G31" s="5">
        <f>'Laundry Revenue'!I37</f>
        <v/>
      </c>
      <c r="H31" s="5">
        <f>F31+G31</f>
        <v/>
      </c>
      <c r="I31" s="5">
        <f>C31*344</f>
        <v/>
      </c>
      <c r="J31" s="5">
        <f>H31-I31</f>
        <v/>
      </c>
      <c r="K31" s="7" t="n">
        <v>6281.43</v>
      </c>
      <c r="L31" s="5">
        <f>J31-K31</f>
        <v/>
      </c>
      <c r="M31" s="11">
        <f>IF(K31=0,0,J31/K31)</f>
        <v/>
      </c>
    </row>
    <row r="32">
      <c r="A32" t="n">
        <v>3</v>
      </c>
      <c r="B32" t="n">
        <v>5</v>
      </c>
      <c r="C32" t="n">
        <v>67</v>
      </c>
      <c r="D32" s="10" t="n">
        <v>0.8</v>
      </c>
      <c r="E32" s="5" t="n">
        <v>850</v>
      </c>
      <c r="F32" s="5">
        <f>C32*D32*E32</f>
        <v/>
      </c>
      <c r="G32" s="5">
        <f>'Laundry Revenue'!I38</f>
        <v/>
      </c>
      <c r="H32" s="5">
        <f>F32+G32</f>
        <v/>
      </c>
      <c r="I32" s="5">
        <f>C32*344</f>
        <v/>
      </c>
      <c r="J32" s="5">
        <f>H32-I32</f>
        <v/>
      </c>
      <c r="K32" s="7" t="n">
        <v>6281.43</v>
      </c>
      <c r="L32" s="5">
        <f>J32-K32</f>
        <v/>
      </c>
      <c r="M32" s="11">
        <f>IF(K32=0,0,J32/K32)</f>
        <v/>
      </c>
    </row>
    <row r="33">
      <c r="A33" t="n">
        <v>3</v>
      </c>
      <c r="B33" t="n">
        <v>6</v>
      </c>
      <c r="C33" t="n">
        <v>67</v>
      </c>
      <c r="D33" s="10" t="n">
        <v>0.8</v>
      </c>
      <c r="E33" s="5" t="n">
        <v>850</v>
      </c>
      <c r="F33" s="5">
        <f>C33*D33*E33</f>
        <v/>
      </c>
      <c r="G33" s="5">
        <f>'Laundry Revenue'!I39</f>
        <v/>
      </c>
      <c r="H33" s="5">
        <f>F33+G33</f>
        <v/>
      </c>
      <c r="I33" s="5">
        <f>C33*344</f>
        <v/>
      </c>
      <c r="J33" s="5">
        <f>H33-I33</f>
        <v/>
      </c>
      <c r="K33" s="7" t="n">
        <v>6281.43</v>
      </c>
      <c r="L33" s="5">
        <f>J33-K33</f>
        <v/>
      </c>
      <c r="M33" s="11">
        <f>IF(K33=0,0,J33/K33)</f>
        <v/>
      </c>
    </row>
    <row r="34">
      <c r="A34" t="n">
        <v>3</v>
      </c>
      <c r="B34" t="n">
        <v>7</v>
      </c>
      <c r="C34" t="n">
        <v>67</v>
      </c>
      <c r="D34" s="10" t="n">
        <v>0.8</v>
      </c>
      <c r="E34" s="5" t="n">
        <v>850</v>
      </c>
      <c r="F34" s="5">
        <f>C34*D34*E34</f>
        <v/>
      </c>
      <c r="G34" s="5">
        <f>'Laundry Revenue'!I40</f>
        <v/>
      </c>
      <c r="H34" s="5">
        <f>F34+G34</f>
        <v/>
      </c>
      <c r="I34" s="5">
        <f>C34*344</f>
        <v/>
      </c>
      <c r="J34" s="5">
        <f>H34-I34</f>
        <v/>
      </c>
      <c r="K34" s="7" t="n">
        <v>6281.43</v>
      </c>
      <c r="L34" s="5">
        <f>J34-K34</f>
        <v/>
      </c>
      <c r="M34" s="11">
        <f>IF(K34=0,0,J34/K34)</f>
        <v/>
      </c>
    </row>
    <row r="35">
      <c r="A35" t="n">
        <v>3</v>
      </c>
      <c r="B35" t="n">
        <v>8</v>
      </c>
      <c r="C35" t="n">
        <v>67</v>
      </c>
      <c r="D35" s="10" t="n">
        <v>0.8</v>
      </c>
      <c r="E35" s="5" t="n">
        <v>850</v>
      </c>
      <c r="F35" s="5">
        <f>C35*D35*E35</f>
        <v/>
      </c>
      <c r="G35" s="5">
        <f>'Laundry Revenue'!I41</f>
        <v/>
      </c>
      <c r="H35" s="5">
        <f>F35+G35</f>
        <v/>
      </c>
      <c r="I35" s="5">
        <f>C35*344</f>
        <v/>
      </c>
      <c r="J35" s="5">
        <f>H35-I35</f>
        <v/>
      </c>
      <c r="K35" s="7" t="n">
        <v>6281.43</v>
      </c>
      <c r="L35" s="5">
        <f>J35-K35</f>
        <v/>
      </c>
      <c r="M35" s="11">
        <f>IF(K35=0,0,J35/K35)</f>
        <v/>
      </c>
    </row>
    <row r="36">
      <c r="A36" t="n">
        <v>3</v>
      </c>
      <c r="B36" t="n">
        <v>9</v>
      </c>
      <c r="C36" t="n">
        <v>67</v>
      </c>
      <c r="D36" s="10" t="n">
        <v>0.8</v>
      </c>
      <c r="E36" s="5" t="n">
        <v>850</v>
      </c>
      <c r="F36" s="5">
        <f>C36*D36*E36</f>
        <v/>
      </c>
      <c r="G36" s="5">
        <f>'Laundry Revenue'!I42</f>
        <v/>
      </c>
      <c r="H36" s="5">
        <f>F36+G36</f>
        <v/>
      </c>
      <c r="I36" s="5">
        <f>C36*344</f>
        <v/>
      </c>
      <c r="J36" s="5">
        <f>H36-I36</f>
        <v/>
      </c>
      <c r="K36" s="7" t="n">
        <v>6281.43</v>
      </c>
      <c r="L36" s="5">
        <f>J36-K36</f>
        <v/>
      </c>
      <c r="M36" s="11">
        <f>IF(K36=0,0,J36/K36)</f>
        <v/>
      </c>
    </row>
    <row r="37">
      <c r="A37" t="n">
        <v>3</v>
      </c>
      <c r="B37" t="n">
        <v>10</v>
      </c>
      <c r="C37" t="n">
        <v>67</v>
      </c>
      <c r="D37" s="10" t="n">
        <v>0.8</v>
      </c>
      <c r="E37" s="5" t="n">
        <v>850</v>
      </c>
      <c r="F37" s="5">
        <f>C37*D37*E37</f>
        <v/>
      </c>
      <c r="G37" s="5">
        <f>'Laundry Revenue'!I43</f>
        <v/>
      </c>
      <c r="H37" s="5">
        <f>F37+G37</f>
        <v/>
      </c>
      <c r="I37" s="5">
        <f>C37*344</f>
        <v/>
      </c>
      <c r="J37" s="5">
        <f>H37-I37</f>
        <v/>
      </c>
      <c r="K37" s="7" t="n">
        <v>6281.43</v>
      </c>
      <c r="L37" s="5">
        <f>J37-K37</f>
        <v/>
      </c>
      <c r="M37" s="11">
        <f>IF(K37=0,0,J37/K37)</f>
        <v/>
      </c>
    </row>
    <row r="38">
      <c r="A38" t="n">
        <v>3</v>
      </c>
      <c r="B38" t="n">
        <v>11</v>
      </c>
      <c r="C38" t="n">
        <v>67</v>
      </c>
      <c r="D38" s="10" t="n">
        <v>0.8</v>
      </c>
      <c r="E38" s="5" t="n">
        <v>850</v>
      </c>
      <c r="F38" s="5">
        <f>C38*D38*E38</f>
        <v/>
      </c>
      <c r="G38" s="5">
        <f>'Laundry Revenue'!I44</f>
        <v/>
      </c>
      <c r="H38" s="5">
        <f>F38+G38</f>
        <v/>
      </c>
      <c r="I38" s="5">
        <f>C38*344</f>
        <v/>
      </c>
      <c r="J38" s="5">
        <f>H38-I38</f>
        <v/>
      </c>
      <c r="K38" s="7" t="n">
        <v>6281.43</v>
      </c>
      <c r="L38" s="5">
        <f>J38-K38</f>
        <v/>
      </c>
      <c r="M38" s="11">
        <f>IF(K38=0,0,J38/K38)</f>
        <v/>
      </c>
    </row>
    <row r="39">
      <c r="A39" t="n">
        <v>3</v>
      </c>
      <c r="B39" t="n">
        <v>12</v>
      </c>
      <c r="C39" t="n">
        <v>67</v>
      </c>
      <c r="D39" s="10" t="n">
        <v>0.8</v>
      </c>
      <c r="E39" s="5" t="n">
        <v>850</v>
      </c>
      <c r="F39" s="5">
        <f>C39*D39*E39</f>
        <v/>
      </c>
      <c r="G39" s="5">
        <f>'Laundry Revenue'!I45</f>
        <v/>
      </c>
      <c r="H39" s="5">
        <f>F39+G39</f>
        <v/>
      </c>
      <c r="I39" s="5">
        <f>C39*344</f>
        <v/>
      </c>
      <c r="J39" s="5">
        <f>H39-I39</f>
        <v/>
      </c>
      <c r="K39" s="7" t="n">
        <v>6281.43</v>
      </c>
      <c r="L39" s="5">
        <f>J39-K39</f>
        <v/>
      </c>
      <c r="M39" s="11">
        <f>IF(K39=0,0,J39/K39)</f>
        <v/>
      </c>
    </row>
    <row r="40">
      <c r="A40" t="n">
        <v>4</v>
      </c>
      <c r="B40" t="n">
        <v>1</v>
      </c>
      <c r="C40" t="n">
        <v>67</v>
      </c>
      <c r="D40" s="10" t="n">
        <v>0.8</v>
      </c>
      <c r="E40" s="5" t="n">
        <v>850</v>
      </c>
      <c r="F40" s="5">
        <f>C40*D40*E40</f>
        <v/>
      </c>
      <c r="G40" s="5">
        <f>'Laundry Revenue'!I46</f>
        <v/>
      </c>
      <c r="H40" s="5">
        <f>F40+G40</f>
        <v/>
      </c>
      <c r="I40" s="5">
        <f>C40*344</f>
        <v/>
      </c>
      <c r="J40" s="5">
        <f>H40-I40</f>
        <v/>
      </c>
      <c r="K40" s="7" t="n">
        <v>6281.43</v>
      </c>
      <c r="L40" s="5">
        <f>J40-K40</f>
        <v/>
      </c>
      <c r="M40" s="11">
        <f>IF(K40=0,0,J40/K40)</f>
        <v/>
      </c>
    </row>
    <row r="41">
      <c r="A41" t="n">
        <v>4</v>
      </c>
      <c r="B41" t="n">
        <v>2</v>
      </c>
      <c r="C41" t="n">
        <v>67</v>
      </c>
      <c r="D41" s="10" t="n">
        <v>0.8</v>
      </c>
      <c r="E41" s="5" t="n">
        <v>850</v>
      </c>
      <c r="F41" s="5">
        <f>C41*D41*E41</f>
        <v/>
      </c>
      <c r="G41" s="5">
        <f>'Laundry Revenue'!I47</f>
        <v/>
      </c>
      <c r="H41" s="5">
        <f>F41+G41</f>
        <v/>
      </c>
      <c r="I41" s="5">
        <f>C41*344</f>
        <v/>
      </c>
      <c r="J41" s="5">
        <f>H41-I41</f>
        <v/>
      </c>
      <c r="K41" s="7" t="n">
        <v>6281.43</v>
      </c>
      <c r="L41" s="5">
        <f>J41-K41</f>
        <v/>
      </c>
      <c r="M41" s="11">
        <f>IF(K41=0,0,J41/K41)</f>
        <v/>
      </c>
    </row>
    <row r="42">
      <c r="A42" t="n">
        <v>4</v>
      </c>
      <c r="B42" t="n">
        <v>3</v>
      </c>
      <c r="C42" t="n">
        <v>67</v>
      </c>
      <c r="D42" s="10" t="n">
        <v>0.8</v>
      </c>
      <c r="E42" s="5" t="n">
        <v>850</v>
      </c>
      <c r="F42" s="5">
        <f>C42*D42*E42</f>
        <v/>
      </c>
      <c r="G42" s="5">
        <f>'Laundry Revenue'!I48</f>
        <v/>
      </c>
      <c r="H42" s="5">
        <f>F42+G42</f>
        <v/>
      </c>
      <c r="I42" s="5">
        <f>C42*344</f>
        <v/>
      </c>
      <c r="J42" s="5">
        <f>H42-I42</f>
        <v/>
      </c>
      <c r="K42" s="7" t="n">
        <v>6281.43</v>
      </c>
      <c r="L42" s="5">
        <f>J42-K42</f>
        <v/>
      </c>
      <c r="M42" s="11">
        <f>IF(K42=0,0,J42/K42)</f>
        <v/>
      </c>
    </row>
    <row r="43">
      <c r="A43" t="n">
        <v>4</v>
      </c>
      <c r="B43" t="n">
        <v>4</v>
      </c>
      <c r="C43" t="n">
        <v>67</v>
      </c>
      <c r="D43" s="10" t="n">
        <v>0.8</v>
      </c>
      <c r="E43" s="5" t="n">
        <v>850</v>
      </c>
      <c r="F43" s="5">
        <f>C43*D43*E43</f>
        <v/>
      </c>
      <c r="G43" s="5">
        <f>'Laundry Revenue'!I49</f>
        <v/>
      </c>
      <c r="H43" s="5">
        <f>F43+G43</f>
        <v/>
      </c>
      <c r="I43" s="5">
        <f>C43*344</f>
        <v/>
      </c>
      <c r="J43" s="5">
        <f>H43-I43</f>
        <v/>
      </c>
      <c r="K43" s="7" t="n">
        <v>6281.43</v>
      </c>
      <c r="L43" s="5">
        <f>J43-K43</f>
        <v/>
      </c>
      <c r="M43" s="11">
        <f>IF(K43=0,0,J43/K43)</f>
        <v/>
      </c>
    </row>
    <row r="44">
      <c r="A44" t="n">
        <v>4</v>
      </c>
      <c r="B44" t="n">
        <v>5</v>
      </c>
      <c r="C44" t="n">
        <v>67</v>
      </c>
      <c r="D44" s="10" t="n">
        <v>0.8</v>
      </c>
      <c r="E44" s="5" t="n">
        <v>850</v>
      </c>
      <c r="F44" s="5">
        <f>C44*D44*E44</f>
        <v/>
      </c>
      <c r="G44" s="5">
        <f>'Laundry Revenue'!I50</f>
        <v/>
      </c>
      <c r="H44" s="5">
        <f>F44+G44</f>
        <v/>
      </c>
      <c r="I44" s="5">
        <f>C44*344</f>
        <v/>
      </c>
      <c r="J44" s="5">
        <f>H44-I44</f>
        <v/>
      </c>
      <c r="K44" s="7" t="n">
        <v>6281.43</v>
      </c>
      <c r="L44" s="5">
        <f>J44-K44</f>
        <v/>
      </c>
      <c r="M44" s="11">
        <f>IF(K44=0,0,J44/K44)</f>
        <v/>
      </c>
    </row>
    <row r="45">
      <c r="A45" t="n">
        <v>4</v>
      </c>
      <c r="B45" t="n">
        <v>6</v>
      </c>
      <c r="C45" t="n">
        <v>67</v>
      </c>
      <c r="D45" s="10" t="n">
        <v>0.8</v>
      </c>
      <c r="E45" s="5" t="n">
        <v>850</v>
      </c>
      <c r="F45" s="5">
        <f>C45*D45*E45</f>
        <v/>
      </c>
      <c r="G45" s="5">
        <f>'Laundry Revenue'!I51</f>
        <v/>
      </c>
      <c r="H45" s="5">
        <f>F45+G45</f>
        <v/>
      </c>
      <c r="I45" s="5">
        <f>C45*344</f>
        <v/>
      </c>
      <c r="J45" s="5">
        <f>H45-I45</f>
        <v/>
      </c>
      <c r="K45" s="7" t="n">
        <v>6281.43</v>
      </c>
      <c r="L45" s="5">
        <f>J45-K45</f>
        <v/>
      </c>
      <c r="M45" s="11">
        <f>IF(K45=0,0,J45/K45)</f>
        <v/>
      </c>
    </row>
    <row r="46">
      <c r="A46" t="n">
        <v>4</v>
      </c>
      <c r="B46" t="n">
        <v>7</v>
      </c>
      <c r="C46" t="n">
        <v>67</v>
      </c>
      <c r="D46" s="10" t="n">
        <v>0.8</v>
      </c>
      <c r="E46" s="5" t="n">
        <v>850</v>
      </c>
      <c r="F46" s="5">
        <f>C46*D46*E46</f>
        <v/>
      </c>
      <c r="G46" s="5">
        <f>'Laundry Revenue'!I52</f>
        <v/>
      </c>
      <c r="H46" s="5">
        <f>F46+G46</f>
        <v/>
      </c>
      <c r="I46" s="5">
        <f>C46*344</f>
        <v/>
      </c>
      <c r="J46" s="5">
        <f>H46-I46</f>
        <v/>
      </c>
      <c r="K46" s="7" t="n">
        <v>6281.43</v>
      </c>
      <c r="L46" s="5">
        <f>J46-K46</f>
        <v/>
      </c>
      <c r="M46" s="11">
        <f>IF(K46=0,0,J46/K46)</f>
        <v/>
      </c>
    </row>
    <row r="47">
      <c r="A47" t="n">
        <v>4</v>
      </c>
      <c r="B47" t="n">
        <v>8</v>
      </c>
      <c r="C47" t="n">
        <v>67</v>
      </c>
      <c r="D47" s="10" t="n">
        <v>0.8</v>
      </c>
      <c r="E47" s="5" t="n">
        <v>850</v>
      </c>
      <c r="F47" s="5">
        <f>C47*D47*E47</f>
        <v/>
      </c>
      <c r="G47" s="5">
        <f>'Laundry Revenue'!I53</f>
        <v/>
      </c>
      <c r="H47" s="5">
        <f>F47+G47</f>
        <v/>
      </c>
      <c r="I47" s="5">
        <f>C47*344</f>
        <v/>
      </c>
      <c r="J47" s="5">
        <f>H47-I47</f>
        <v/>
      </c>
      <c r="K47" s="7" t="n">
        <v>6281.43</v>
      </c>
      <c r="L47" s="5">
        <f>J47-K47</f>
        <v/>
      </c>
      <c r="M47" s="11">
        <f>IF(K47=0,0,J47/K47)</f>
        <v/>
      </c>
    </row>
    <row r="48">
      <c r="A48" t="n">
        <v>4</v>
      </c>
      <c r="B48" t="n">
        <v>9</v>
      </c>
      <c r="C48" t="n">
        <v>67</v>
      </c>
      <c r="D48" s="10" t="n">
        <v>0.8</v>
      </c>
      <c r="E48" s="5" t="n">
        <v>850</v>
      </c>
      <c r="F48" s="5">
        <f>C48*D48*E48</f>
        <v/>
      </c>
      <c r="G48" s="5">
        <f>'Laundry Revenue'!I54</f>
        <v/>
      </c>
      <c r="H48" s="5">
        <f>F48+G48</f>
        <v/>
      </c>
      <c r="I48" s="5">
        <f>C48*344</f>
        <v/>
      </c>
      <c r="J48" s="5">
        <f>H48-I48</f>
        <v/>
      </c>
      <c r="K48" s="7" t="n">
        <v>6281.43</v>
      </c>
      <c r="L48" s="5">
        <f>J48-K48</f>
        <v/>
      </c>
      <c r="M48" s="11">
        <f>IF(K48=0,0,J48/K48)</f>
        <v/>
      </c>
    </row>
    <row r="49">
      <c r="A49" t="n">
        <v>4</v>
      </c>
      <c r="B49" t="n">
        <v>10</v>
      </c>
      <c r="C49" t="n">
        <v>67</v>
      </c>
      <c r="D49" s="10" t="n">
        <v>0.8</v>
      </c>
      <c r="E49" s="5" t="n">
        <v>850</v>
      </c>
      <c r="F49" s="5">
        <f>C49*D49*E49</f>
        <v/>
      </c>
      <c r="G49" s="5">
        <f>'Laundry Revenue'!I55</f>
        <v/>
      </c>
      <c r="H49" s="5">
        <f>F49+G49</f>
        <v/>
      </c>
      <c r="I49" s="5">
        <f>C49*344</f>
        <v/>
      </c>
      <c r="J49" s="5">
        <f>H49-I49</f>
        <v/>
      </c>
      <c r="K49" s="7" t="n">
        <v>6281.43</v>
      </c>
      <c r="L49" s="5">
        <f>J49-K49</f>
        <v/>
      </c>
      <c r="M49" s="11">
        <f>IF(K49=0,0,J49/K49)</f>
        <v/>
      </c>
    </row>
    <row r="50">
      <c r="A50" t="n">
        <v>4</v>
      </c>
      <c r="B50" t="n">
        <v>11</v>
      </c>
      <c r="C50" t="n">
        <v>67</v>
      </c>
      <c r="D50" s="10" t="n">
        <v>0.8</v>
      </c>
      <c r="E50" s="5" t="n">
        <v>850</v>
      </c>
      <c r="F50" s="5">
        <f>C50*D50*E50</f>
        <v/>
      </c>
      <c r="G50" s="5">
        <f>'Laundry Revenue'!I56</f>
        <v/>
      </c>
      <c r="H50" s="5">
        <f>F50+G50</f>
        <v/>
      </c>
      <c r="I50" s="5">
        <f>C50*344</f>
        <v/>
      </c>
      <c r="J50" s="5">
        <f>H50-I50</f>
        <v/>
      </c>
      <c r="K50" s="7" t="n">
        <v>6281.43</v>
      </c>
      <c r="L50" s="5">
        <f>J50-K50</f>
        <v/>
      </c>
      <c r="M50" s="11">
        <f>IF(K50=0,0,J50/K50)</f>
        <v/>
      </c>
    </row>
    <row r="51">
      <c r="A51" t="n">
        <v>4</v>
      </c>
      <c r="B51" t="n">
        <v>12</v>
      </c>
      <c r="C51" t="n">
        <v>67</v>
      </c>
      <c r="D51" s="10" t="n">
        <v>0.8</v>
      </c>
      <c r="E51" s="5" t="n">
        <v>850</v>
      </c>
      <c r="F51" s="5">
        <f>C51*D51*E51</f>
        <v/>
      </c>
      <c r="G51" s="5">
        <f>'Laundry Revenue'!I57</f>
        <v/>
      </c>
      <c r="H51" s="5">
        <f>F51+G51</f>
        <v/>
      </c>
      <c r="I51" s="5">
        <f>C51*344</f>
        <v/>
      </c>
      <c r="J51" s="5">
        <f>H51-I51</f>
        <v/>
      </c>
      <c r="K51" s="7" t="n">
        <v>6281.43</v>
      </c>
      <c r="L51" s="5">
        <f>J51-K51</f>
        <v/>
      </c>
      <c r="M51" s="11">
        <f>IF(K51=0,0,J51/K51)</f>
        <v/>
      </c>
    </row>
    <row r="52">
      <c r="A52" t="n">
        <v>5</v>
      </c>
      <c r="B52" t="n">
        <v>1</v>
      </c>
      <c r="C52" t="n">
        <v>67</v>
      </c>
      <c r="D52" s="10" t="n">
        <v>0.8</v>
      </c>
      <c r="E52" s="5" t="n">
        <v>850</v>
      </c>
      <c r="F52" s="5">
        <f>C52*D52*E52</f>
        <v/>
      </c>
      <c r="G52" s="5">
        <f>'Laundry Revenue'!I58</f>
        <v/>
      </c>
      <c r="H52" s="5">
        <f>F52+G52</f>
        <v/>
      </c>
      <c r="I52" s="5">
        <f>C52*344</f>
        <v/>
      </c>
      <c r="J52" s="5">
        <f>H52-I52</f>
        <v/>
      </c>
      <c r="K52" s="7" t="n">
        <v>6281.43</v>
      </c>
      <c r="L52" s="5">
        <f>J52-K52</f>
        <v/>
      </c>
      <c r="M52" s="11">
        <f>IF(K52=0,0,J52/K52)</f>
        <v/>
      </c>
    </row>
    <row r="53">
      <c r="A53" t="n">
        <v>5</v>
      </c>
      <c r="B53" t="n">
        <v>2</v>
      </c>
      <c r="C53" t="n">
        <v>67</v>
      </c>
      <c r="D53" s="10" t="n">
        <v>0.8</v>
      </c>
      <c r="E53" s="5" t="n">
        <v>850</v>
      </c>
      <c r="F53" s="5">
        <f>C53*D53*E53</f>
        <v/>
      </c>
      <c r="G53" s="5">
        <f>'Laundry Revenue'!I59</f>
        <v/>
      </c>
      <c r="H53" s="5">
        <f>F53+G53</f>
        <v/>
      </c>
      <c r="I53" s="5">
        <f>C53*344</f>
        <v/>
      </c>
      <c r="J53" s="5">
        <f>H53-I53</f>
        <v/>
      </c>
      <c r="K53" s="7" t="n">
        <v>6281.43</v>
      </c>
      <c r="L53" s="5">
        <f>J53-K53</f>
        <v/>
      </c>
      <c r="M53" s="11">
        <f>IF(K53=0,0,J53/K53)</f>
        <v/>
      </c>
    </row>
    <row r="54">
      <c r="A54" t="n">
        <v>5</v>
      </c>
      <c r="B54" t="n">
        <v>3</v>
      </c>
      <c r="C54" t="n">
        <v>67</v>
      </c>
      <c r="D54" s="10" t="n">
        <v>0.8</v>
      </c>
      <c r="E54" s="5" t="n">
        <v>850</v>
      </c>
      <c r="F54" s="5">
        <f>C54*D54*E54</f>
        <v/>
      </c>
      <c r="G54" s="5">
        <f>'Laundry Revenue'!I60</f>
        <v/>
      </c>
      <c r="H54" s="5">
        <f>F54+G54</f>
        <v/>
      </c>
      <c r="I54" s="5">
        <f>C54*344</f>
        <v/>
      </c>
      <c r="J54" s="5">
        <f>H54-I54</f>
        <v/>
      </c>
      <c r="K54" s="7" t="n">
        <v>6281.43</v>
      </c>
      <c r="L54" s="5">
        <f>J54-K54</f>
        <v/>
      </c>
      <c r="M54" s="11">
        <f>IF(K54=0,0,J54/K54)</f>
        <v/>
      </c>
    </row>
    <row r="55">
      <c r="A55" t="n">
        <v>5</v>
      </c>
      <c r="B55" t="n">
        <v>4</v>
      </c>
      <c r="C55" t="n">
        <v>67</v>
      </c>
      <c r="D55" s="10" t="n">
        <v>0.8</v>
      </c>
      <c r="E55" s="5" t="n">
        <v>850</v>
      </c>
      <c r="F55" s="5">
        <f>C55*D55*E55</f>
        <v/>
      </c>
      <c r="G55" s="5">
        <f>'Laundry Revenue'!I61</f>
        <v/>
      </c>
      <c r="H55" s="5">
        <f>F55+G55</f>
        <v/>
      </c>
      <c r="I55" s="5">
        <f>C55*344</f>
        <v/>
      </c>
      <c r="J55" s="5">
        <f>H55-I55</f>
        <v/>
      </c>
      <c r="K55" s="7" t="n">
        <v>6281.43</v>
      </c>
      <c r="L55" s="5">
        <f>J55-K55</f>
        <v/>
      </c>
      <c r="M55" s="11">
        <f>IF(K55=0,0,J55/K55)</f>
        <v/>
      </c>
    </row>
    <row r="56">
      <c r="A56" t="n">
        <v>5</v>
      </c>
      <c r="B56" t="n">
        <v>5</v>
      </c>
      <c r="C56" t="n">
        <v>67</v>
      </c>
      <c r="D56" s="10" t="n">
        <v>0.8</v>
      </c>
      <c r="E56" s="5" t="n">
        <v>850</v>
      </c>
      <c r="F56" s="5">
        <f>C56*D56*E56</f>
        <v/>
      </c>
      <c r="G56" s="5">
        <f>'Laundry Revenue'!I62</f>
        <v/>
      </c>
      <c r="H56" s="5">
        <f>F56+G56</f>
        <v/>
      </c>
      <c r="I56" s="5">
        <f>C56*344</f>
        <v/>
      </c>
      <c r="J56" s="5">
        <f>H56-I56</f>
        <v/>
      </c>
      <c r="K56" s="7" t="n">
        <v>6281.43</v>
      </c>
      <c r="L56" s="5">
        <f>J56-K56</f>
        <v/>
      </c>
      <c r="M56" s="11">
        <f>IF(K56=0,0,J56/K56)</f>
        <v/>
      </c>
    </row>
    <row r="57">
      <c r="A57" t="n">
        <v>5</v>
      </c>
      <c r="B57" t="n">
        <v>6</v>
      </c>
      <c r="C57" t="n">
        <v>67</v>
      </c>
      <c r="D57" s="10" t="n">
        <v>0.8</v>
      </c>
      <c r="E57" s="5" t="n">
        <v>850</v>
      </c>
      <c r="F57" s="5">
        <f>C57*D57*E57</f>
        <v/>
      </c>
      <c r="G57" s="5">
        <f>'Laundry Revenue'!I63</f>
        <v/>
      </c>
      <c r="H57" s="5">
        <f>F57+G57</f>
        <v/>
      </c>
      <c r="I57" s="5">
        <f>C57*344</f>
        <v/>
      </c>
      <c r="J57" s="5">
        <f>H57-I57</f>
        <v/>
      </c>
      <c r="K57" s="7" t="n">
        <v>6281.43</v>
      </c>
      <c r="L57" s="5">
        <f>J57-K57</f>
        <v/>
      </c>
      <c r="M57" s="11">
        <f>IF(K57=0,0,J57/K57)</f>
        <v/>
      </c>
    </row>
    <row r="58">
      <c r="A58" t="n">
        <v>5</v>
      </c>
      <c r="B58" t="n">
        <v>7</v>
      </c>
      <c r="C58" t="n">
        <v>67</v>
      </c>
      <c r="D58" s="10" t="n">
        <v>0.8</v>
      </c>
      <c r="E58" s="5" t="n">
        <v>850</v>
      </c>
      <c r="F58" s="5">
        <f>C58*D58*E58</f>
        <v/>
      </c>
      <c r="G58" s="5">
        <f>'Laundry Revenue'!I64</f>
        <v/>
      </c>
      <c r="H58" s="5">
        <f>F58+G58</f>
        <v/>
      </c>
      <c r="I58" s="5">
        <f>C58*344</f>
        <v/>
      </c>
      <c r="J58" s="5">
        <f>H58-I58</f>
        <v/>
      </c>
      <c r="K58" s="7" t="n">
        <v>6281.43</v>
      </c>
      <c r="L58" s="5">
        <f>J58-K58</f>
        <v/>
      </c>
      <c r="M58" s="11">
        <f>IF(K58=0,0,J58/K58)</f>
        <v/>
      </c>
    </row>
    <row r="59">
      <c r="A59" t="n">
        <v>5</v>
      </c>
      <c r="B59" t="n">
        <v>8</v>
      </c>
      <c r="C59" t="n">
        <v>67</v>
      </c>
      <c r="D59" s="10" t="n">
        <v>0.8</v>
      </c>
      <c r="E59" s="5" t="n">
        <v>850</v>
      </c>
      <c r="F59" s="5">
        <f>C59*D59*E59</f>
        <v/>
      </c>
      <c r="G59" s="5">
        <f>'Laundry Revenue'!I65</f>
        <v/>
      </c>
      <c r="H59" s="5">
        <f>F59+G59</f>
        <v/>
      </c>
      <c r="I59" s="5">
        <f>C59*344</f>
        <v/>
      </c>
      <c r="J59" s="5">
        <f>H59-I59</f>
        <v/>
      </c>
      <c r="K59" s="7" t="n">
        <v>6281.43</v>
      </c>
      <c r="L59" s="5">
        <f>J59-K59</f>
        <v/>
      </c>
      <c r="M59" s="11">
        <f>IF(K59=0,0,J59/K59)</f>
        <v/>
      </c>
    </row>
    <row r="60">
      <c r="A60" t="n">
        <v>5</v>
      </c>
      <c r="B60" t="n">
        <v>9</v>
      </c>
      <c r="C60" t="n">
        <v>67</v>
      </c>
      <c r="D60" s="10" t="n">
        <v>0.8</v>
      </c>
      <c r="E60" s="5" t="n">
        <v>850</v>
      </c>
      <c r="F60" s="5">
        <f>C60*D60*E60</f>
        <v/>
      </c>
      <c r="G60" s="5">
        <f>'Laundry Revenue'!I66</f>
        <v/>
      </c>
      <c r="H60" s="5">
        <f>F60+G60</f>
        <v/>
      </c>
      <c r="I60" s="5">
        <f>C60*344</f>
        <v/>
      </c>
      <c r="J60" s="5">
        <f>H60-I60</f>
        <v/>
      </c>
      <c r="K60" s="7" t="n">
        <v>6281.43</v>
      </c>
      <c r="L60" s="5">
        <f>J60-K60</f>
        <v/>
      </c>
      <c r="M60" s="11">
        <f>IF(K60=0,0,J60/K60)</f>
        <v/>
      </c>
    </row>
    <row r="61">
      <c r="A61" t="n">
        <v>5</v>
      </c>
      <c r="B61" t="n">
        <v>10</v>
      </c>
      <c r="C61" t="n">
        <v>67</v>
      </c>
      <c r="D61" s="10" t="n">
        <v>0.8</v>
      </c>
      <c r="E61" s="5" t="n">
        <v>850</v>
      </c>
      <c r="F61" s="5">
        <f>C61*D61*E61</f>
        <v/>
      </c>
      <c r="G61" s="5">
        <f>'Laundry Revenue'!I67</f>
        <v/>
      </c>
      <c r="H61" s="5">
        <f>F61+G61</f>
        <v/>
      </c>
      <c r="I61" s="5">
        <f>C61*344</f>
        <v/>
      </c>
      <c r="J61" s="5">
        <f>H61-I61</f>
        <v/>
      </c>
      <c r="K61" s="7" t="n">
        <v>6281.43</v>
      </c>
      <c r="L61" s="5">
        <f>J61-K61</f>
        <v/>
      </c>
      <c r="M61" s="11">
        <f>IF(K61=0,0,J61/K61)</f>
        <v/>
      </c>
    </row>
    <row r="62">
      <c r="A62" t="n">
        <v>5</v>
      </c>
      <c r="B62" t="n">
        <v>11</v>
      </c>
      <c r="C62" t="n">
        <v>67</v>
      </c>
      <c r="D62" s="10" t="n">
        <v>0.8</v>
      </c>
      <c r="E62" s="5" t="n">
        <v>850</v>
      </c>
      <c r="F62" s="5">
        <f>C62*D62*E62</f>
        <v/>
      </c>
      <c r="G62" s="5">
        <f>'Laundry Revenue'!I68</f>
        <v/>
      </c>
      <c r="H62" s="5">
        <f>F62+G62</f>
        <v/>
      </c>
      <c r="I62" s="5">
        <f>C62*344</f>
        <v/>
      </c>
      <c r="J62" s="5">
        <f>H62-I62</f>
        <v/>
      </c>
      <c r="K62" s="7" t="n">
        <v>6281.43</v>
      </c>
      <c r="L62" s="5">
        <f>J62-K62</f>
        <v/>
      </c>
      <c r="M62" s="11">
        <f>IF(K62=0,0,J62/K62)</f>
        <v/>
      </c>
    </row>
    <row r="63">
      <c r="A63" t="n">
        <v>5</v>
      </c>
      <c r="B63" t="n">
        <v>12</v>
      </c>
      <c r="C63" t="n">
        <v>67</v>
      </c>
      <c r="D63" s="10" t="n">
        <v>0.8</v>
      </c>
      <c r="E63" s="5" t="n">
        <v>850</v>
      </c>
      <c r="F63" s="5">
        <f>C63*D63*E63</f>
        <v/>
      </c>
      <c r="G63" s="5">
        <f>'Laundry Revenue'!I69</f>
        <v/>
      </c>
      <c r="H63" s="5">
        <f>F63+G63</f>
        <v/>
      </c>
      <c r="I63" s="5">
        <f>C63*344</f>
        <v/>
      </c>
      <c r="J63" s="5">
        <f>H63-I63</f>
        <v/>
      </c>
      <c r="K63" s="7" t="n">
        <v>6281.43</v>
      </c>
      <c r="L63" s="5">
        <f>J63-K63</f>
        <v/>
      </c>
      <c r="M63" s="11">
        <f>IF(K63=0,0,J63/K63)</f>
        <v/>
      </c>
    </row>
    <row r="64">
      <c r="A64" t="n">
        <v>6</v>
      </c>
      <c r="B64" t="n">
        <v>1</v>
      </c>
      <c r="C64" t="n">
        <v>67</v>
      </c>
      <c r="D64" s="10" t="n">
        <v>0.8</v>
      </c>
      <c r="E64" s="5" t="n">
        <v>850</v>
      </c>
      <c r="F64" s="5">
        <f>C64*D64*E64</f>
        <v/>
      </c>
      <c r="G64" s="5">
        <f>'Laundry Revenue'!I70</f>
        <v/>
      </c>
      <c r="H64" s="5">
        <f>F64+G64</f>
        <v/>
      </c>
      <c r="I64" s="5">
        <f>C64*344</f>
        <v/>
      </c>
      <c r="J64" s="5">
        <f>H64-I64</f>
        <v/>
      </c>
      <c r="K64" s="7" t="n">
        <v>6281.43</v>
      </c>
      <c r="L64" s="5">
        <f>J64-K64</f>
        <v/>
      </c>
      <c r="M64" s="11">
        <f>IF(K64=0,0,J64/K64)</f>
        <v/>
      </c>
    </row>
    <row r="65">
      <c r="A65" t="n">
        <v>6</v>
      </c>
      <c r="B65" t="n">
        <v>2</v>
      </c>
      <c r="C65" t="n">
        <v>67</v>
      </c>
      <c r="D65" s="10" t="n">
        <v>0.8</v>
      </c>
      <c r="E65" s="5" t="n">
        <v>850</v>
      </c>
      <c r="F65" s="5">
        <f>C65*D65*E65</f>
        <v/>
      </c>
      <c r="G65" s="5">
        <f>'Laundry Revenue'!I71</f>
        <v/>
      </c>
      <c r="H65" s="5">
        <f>F65+G65</f>
        <v/>
      </c>
      <c r="I65" s="5">
        <f>C65*344</f>
        <v/>
      </c>
      <c r="J65" s="5">
        <f>H65-I65</f>
        <v/>
      </c>
      <c r="K65" s="7" t="n">
        <v>6281.43</v>
      </c>
      <c r="L65" s="5">
        <f>J65-K65</f>
        <v/>
      </c>
      <c r="M65" s="11">
        <f>IF(K65=0,0,J65/K65)</f>
        <v/>
      </c>
    </row>
    <row r="66">
      <c r="A66" t="n">
        <v>6</v>
      </c>
      <c r="B66" t="n">
        <v>3</v>
      </c>
      <c r="C66" t="n">
        <v>67</v>
      </c>
      <c r="D66" s="10" t="n">
        <v>0.8</v>
      </c>
      <c r="E66" s="5" t="n">
        <v>850</v>
      </c>
      <c r="F66" s="5">
        <f>C66*D66*E66</f>
        <v/>
      </c>
      <c r="G66" s="5">
        <f>'Laundry Revenue'!I72</f>
        <v/>
      </c>
      <c r="H66" s="5">
        <f>F66+G66</f>
        <v/>
      </c>
      <c r="I66" s="5">
        <f>C66*344</f>
        <v/>
      </c>
      <c r="J66" s="5">
        <f>H66-I66</f>
        <v/>
      </c>
      <c r="K66" s="7" t="n">
        <v>6281.43</v>
      </c>
      <c r="L66" s="5">
        <f>J66-K66</f>
        <v/>
      </c>
      <c r="M66" s="11">
        <f>IF(K66=0,0,J66/K66)</f>
        <v/>
      </c>
    </row>
    <row r="67">
      <c r="A67" t="n">
        <v>6</v>
      </c>
      <c r="B67" t="n">
        <v>4</v>
      </c>
      <c r="C67" t="n">
        <v>67</v>
      </c>
      <c r="D67" s="10" t="n">
        <v>0.8</v>
      </c>
      <c r="E67" s="5" t="n">
        <v>850</v>
      </c>
      <c r="F67" s="5">
        <f>C67*D67*E67</f>
        <v/>
      </c>
      <c r="G67" s="5">
        <f>'Laundry Revenue'!I73</f>
        <v/>
      </c>
      <c r="H67" s="5">
        <f>F67+G67</f>
        <v/>
      </c>
      <c r="I67" s="5">
        <f>C67*344</f>
        <v/>
      </c>
      <c r="J67" s="5">
        <f>H67-I67</f>
        <v/>
      </c>
      <c r="K67" s="7" t="n">
        <v>6281.43</v>
      </c>
      <c r="L67" s="5">
        <f>J67-K67</f>
        <v/>
      </c>
      <c r="M67" s="11">
        <f>IF(K67=0,0,J67/K67)</f>
        <v/>
      </c>
    </row>
    <row r="68">
      <c r="A68" t="n">
        <v>6</v>
      </c>
      <c r="B68" t="n">
        <v>5</v>
      </c>
      <c r="C68" t="n">
        <v>67</v>
      </c>
      <c r="D68" s="10" t="n">
        <v>0.8</v>
      </c>
      <c r="E68" s="5" t="n">
        <v>850</v>
      </c>
      <c r="F68" s="5">
        <f>C68*D68*E68</f>
        <v/>
      </c>
      <c r="G68" s="5">
        <f>'Laundry Revenue'!I74</f>
        <v/>
      </c>
      <c r="H68" s="5">
        <f>F68+G68</f>
        <v/>
      </c>
      <c r="I68" s="5">
        <f>C68*344</f>
        <v/>
      </c>
      <c r="J68" s="5">
        <f>H68-I68</f>
        <v/>
      </c>
      <c r="K68" s="7" t="n">
        <v>6281.43</v>
      </c>
      <c r="L68" s="5">
        <f>J68-K68</f>
        <v/>
      </c>
      <c r="M68" s="11">
        <f>IF(K68=0,0,J68/K68)</f>
        <v/>
      </c>
    </row>
    <row r="69">
      <c r="A69" t="n">
        <v>6</v>
      </c>
      <c r="B69" t="n">
        <v>6</v>
      </c>
      <c r="C69" t="n">
        <v>67</v>
      </c>
      <c r="D69" s="10" t="n">
        <v>0.8</v>
      </c>
      <c r="E69" s="5" t="n">
        <v>850</v>
      </c>
      <c r="F69" s="5">
        <f>C69*D69*E69</f>
        <v/>
      </c>
      <c r="G69" s="5">
        <f>'Laundry Revenue'!I75</f>
        <v/>
      </c>
      <c r="H69" s="5">
        <f>F69+G69</f>
        <v/>
      </c>
      <c r="I69" s="5">
        <f>C69*344</f>
        <v/>
      </c>
      <c r="J69" s="5">
        <f>H69-I69</f>
        <v/>
      </c>
      <c r="K69" s="7" t="n">
        <v>6281.43</v>
      </c>
      <c r="L69" s="5">
        <f>J69-K69</f>
        <v/>
      </c>
      <c r="M69" s="11">
        <f>IF(K69=0,0,J69/K69)</f>
        <v/>
      </c>
    </row>
    <row r="70">
      <c r="A70" t="n">
        <v>6</v>
      </c>
      <c r="B70" t="n">
        <v>7</v>
      </c>
      <c r="C70" t="n">
        <v>67</v>
      </c>
      <c r="D70" s="10" t="n">
        <v>0.8</v>
      </c>
      <c r="E70" s="5" t="n">
        <v>850</v>
      </c>
      <c r="F70" s="5">
        <f>C70*D70*E70</f>
        <v/>
      </c>
      <c r="G70" s="5">
        <f>'Laundry Revenue'!I76</f>
        <v/>
      </c>
      <c r="H70" s="5">
        <f>F70+G70</f>
        <v/>
      </c>
      <c r="I70" s="5">
        <f>C70*344</f>
        <v/>
      </c>
      <c r="J70" s="5">
        <f>H70-I70</f>
        <v/>
      </c>
      <c r="K70" s="7" t="n">
        <v>6281.43</v>
      </c>
      <c r="L70" s="5">
        <f>J70-K70</f>
        <v/>
      </c>
      <c r="M70" s="11">
        <f>IF(K70=0,0,J70/K70)</f>
        <v/>
      </c>
    </row>
    <row r="71">
      <c r="A71" t="n">
        <v>6</v>
      </c>
      <c r="B71" t="n">
        <v>8</v>
      </c>
      <c r="C71" t="n">
        <v>67</v>
      </c>
      <c r="D71" s="10" t="n">
        <v>0.8</v>
      </c>
      <c r="E71" s="5" t="n">
        <v>850</v>
      </c>
      <c r="F71" s="5">
        <f>C71*D71*E71</f>
        <v/>
      </c>
      <c r="G71" s="5">
        <f>'Laundry Revenue'!I77</f>
        <v/>
      </c>
      <c r="H71" s="5">
        <f>F71+G71</f>
        <v/>
      </c>
      <c r="I71" s="5">
        <f>C71*344</f>
        <v/>
      </c>
      <c r="J71" s="5">
        <f>H71-I71</f>
        <v/>
      </c>
      <c r="K71" s="7" t="n">
        <v>6281.43</v>
      </c>
      <c r="L71" s="5">
        <f>J71-K71</f>
        <v/>
      </c>
      <c r="M71" s="11">
        <f>IF(K71=0,0,J71/K71)</f>
        <v/>
      </c>
    </row>
    <row r="72">
      <c r="A72" t="n">
        <v>6</v>
      </c>
      <c r="B72" t="n">
        <v>9</v>
      </c>
      <c r="C72" t="n">
        <v>67</v>
      </c>
      <c r="D72" s="10" t="n">
        <v>0.8</v>
      </c>
      <c r="E72" s="5" t="n">
        <v>850</v>
      </c>
      <c r="F72" s="5">
        <f>C72*D72*E72</f>
        <v/>
      </c>
      <c r="G72" s="5">
        <f>'Laundry Revenue'!I78</f>
        <v/>
      </c>
      <c r="H72" s="5">
        <f>F72+G72</f>
        <v/>
      </c>
      <c r="I72" s="5">
        <f>C72*344</f>
        <v/>
      </c>
      <c r="J72" s="5">
        <f>H72-I72</f>
        <v/>
      </c>
      <c r="K72" s="7" t="n">
        <v>6281.43</v>
      </c>
      <c r="L72" s="5">
        <f>J72-K72</f>
        <v/>
      </c>
      <c r="M72" s="11">
        <f>IF(K72=0,0,J72/K72)</f>
        <v/>
      </c>
    </row>
    <row r="73">
      <c r="A73" t="n">
        <v>6</v>
      </c>
      <c r="B73" t="n">
        <v>10</v>
      </c>
      <c r="C73" t="n">
        <v>67</v>
      </c>
      <c r="D73" s="10" t="n">
        <v>0.8</v>
      </c>
      <c r="E73" s="5" t="n">
        <v>850</v>
      </c>
      <c r="F73" s="5">
        <f>C73*D73*E73</f>
        <v/>
      </c>
      <c r="G73" s="5">
        <f>'Laundry Revenue'!I79</f>
        <v/>
      </c>
      <c r="H73" s="5">
        <f>F73+G73</f>
        <v/>
      </c>
      <c r="I73" s="5">
        <f>C73*344</f>
        <v/>
      </c>
      <c r="J73" s="5">
        <f>H73-I73</f>
        <v/>
      </c>
      <c r="K73" s="7" t="n">
        <v>6281.43</v>
      </c>
      <c r="L73" s="5">
        <f>J73-K73</f>
        <v/>
      </c>
      <c r="M73" s="11">
        <f>IF(K73=0,0,J73/K73)</f>
        <v/>
      </c>
    </row>
    <row r="74">
      <c r="A74" t="n">
        <v>6</v>
      </c>
      <c r="B74" t="n">
        <v>11</v>
      </c>
      <c r="C74" t="n">
        <v>67</v>
      </c>
      <c r="D74" s="10" t="n">
        <v>0.8</v>
      </c>
      <c r="E74" s="5" t="n">
        <v>850</v>
      </c>
      <c r="F74" s="5">
        <f>C74*D74*E74</f>
        <v/>
      </c>
      <c r="G74" s="5">
        <f>'Laundry Revenue'!I80</f>
        <v/>
      </c>
      <c r="H74" s="5">
        <f>F74+G74</f>
        <v/>
      </c>
      <c r="I74" s="5">
        <f>C74*344</f>
        <v/>
      </c>
      <c r="J74" s="5">
        <f>H74-I74</f>
        <v/>
      </c>
      <c r="K74" s="7" t="n">
        <v>6281.43</v>
      </c>
      <c r="L74" s="5">
        <f>J74-K74</f>
        <v/>
      </c>
      <c r="M74" s="11">
        <f>IF(K74=0,0,J74/K74)</f>
        <v/>
      </c>
    </row>
    <row r="75">
      <c r="A75" t="n">
        <v>6</v>
      </c>
      <c r="B75" t="n">
        <v>12</v>
      </c>
      <c r="C75" t="n">
        <v>67</v>
      </c>
      <c r="D75" s="10" t="n">
        <v>0.8</v>
      </c>
      <c r="E75" s="5" t="n">
        <v>850</v>
      </c>
      <c r="F75" s="5">
        <f>C75*D75*E75</f>
        <v/>
      </c>
      <c r="G75" s="5">
        <f>'Laundry Revenue'!I81</f>
        <v/>
      </c>
      <c r="H75" s="5">
        <f>F75+G75</f>
        <v/>
      </c>
      <c r="I75" s="5">
        <f>C75*344</f>
        <v/>
      </c>
      <c r="J75" s="5">
        <f>H75-I75</f>
        <v/>
      </c>
      <c r="K75" s="7" t="n">
        <v>6281.43</v>
      </c>
      <c r="L75" s="5">
        <f>J75-K75</f>
        <v/>
      </c>
      <c r="M75" s="11">
        <f>IF(K75=0,0,J75/K75)</f>
        <v/>
      </c>
    </row>
    <row r="76">
      <c r="A76" t="n">
        <v>7</v>
      </c>
      <c r="B76" t="n">
        <v>1</v>
      </c>
      <c r="C76" t="n">
        <v>67</v>
      </c>
      <c r="D76" s="10" t="n">
        <v>0.8</v>
      </c>
      <c r="E76" s="5" t="n">
        <v>850</v>
      </c>
      <c r="F76" s="5">
        <f>C76*D76*E76</f>
        <v/>
      </c>
      <c r="G76" s="5">
        <f>'Laundry Revenue'!I82</f>
        <v/>
      </c>
      <c r="H76" s="5">
        <f>F76+G76</f>
        <v/>
      </c>
      <c r="I76" s="5">
        <f>C76*344</f>
        <v/>
      </c>
      <c r="J76" s="5">
        <f>H76-I76</f>
        <v/>
      </c>
      <c r="K76" s="7" t="n">
        <v>6281.43</v>
      </c>
      <c r="L76" s="5">
        <f>J76-K76</f>
        <v/>
      </c>
      <c r="M76" s="11">
        <f>IF(K76=0,0,J76/K76)</f>
        <v/>
      </c>
    </row>
    <row r="77">
      <c r="A77" t="n">
        <v>7</v>
      </c>
      <c r="B77" t="n">
        <v>2</v>
      </c>
      <c r="C77" t="n">
        <v>67</v>
      </c>
      <c r="D77" s="10" t="n">
        <v>0.8</v>
      </c>
      <c r="E77" s="5" t="n">
        <v>850</v>
      </c>
      <c r="F77" s="5">
        <f>C77*D77*E77</f>
        <v/>
      </c>
      <c r="G77" s="5">
        <f>'Laundry Revenue'!I83</f>
        <v/>
      </c>
      <c r="H77" s="5">
        <f>F77+G77</f>
        <v/>
      </c>
      <c r="I77" s="5">
        <f>C77*344</f>
        <v/>
      </c>
      <c r="J77" s="5">
        <f>H77-I77</f>
        <v/>
      </c>
      <c r="K77" s="7" t="n">
        <v>6281.43</v>
      </c>
      <c r="L77" s="5">
        <f>J77-K77</f>
        <v/>
      </c>
      <c r="M77" s="11">
        <f>IF(K77=0,0,J77/K77)</f>
        <v/>
      </c>
    </row>
    <row r="78">
      <c r="A78" t="n">
        <v>7</v>
      </c>
      <c r="B78" t="n">
        <v>3</v>
      </c>
      <c r="C78" t="n">
        <v>67</v>
      </c>
      <c r="D78" s="10" t="n">
        <v>0.8</v>
      </c>
      <c r="E78" s="5" t="n">
        <v>850</v>
      </c>
      <c r="F78" s="5">
        <f>C78*D78*E78</f>
        <v/>
      </c>
      <c r="G78" s="5">
        <f>'Laundry Revenue'!I84</f>
        <v/>
      </c>
      <c r="H78" s="5">
        <f>F78+G78</f>
        <v/>
      </c>
      <c r="I78" s="5">
        <f>C78*344</f>
        <v/>
      </c>
      <c r="J78" s="5">
        <f>H78-I78</f>
        <v/>
      </c>
      <c r="K78" s="7" t="n">
        <v>6281.43</v>
      </c>
      <c r="L78" s="5">
        <f>J78-K78</f>
        <v/>
      </c>
      <c r="M78" s="11">
        <f>IF(K78=0,0,J78/K78)</f>
        <v/>
      </c>
    </row>
    <row r="79">
      <c r="A79" t="n">
        <v>7</v>
      </c>
      <c r="B79" t="n">
        <v>4</v>
      </c>
      <c r="C79" t="n">
        <v>67</v>
      </c>
      <c r="D79" s="10" t="n">
        <v>0.8</v>
      </c>
      <c r="E79" s="5" t="n">
        <v>850</v>
      </c>
      <c r="F79" s="5">
        <f>C79*D79*E79</f>
        <v/>
      </c>
      <c r="G79" s="5">
        <f>'Laundry Revenue'!I85</f>
        <v/>
      </c>
      <c r="H79" s="5">
        <f>F79+G79</f>
        <v/>
      </c>
      <c r="I79" s="5">
        <f>C79*344</f>
        <v/>
      </c>
      <c r="J79" s="5">
        <f>H79-I79</f>
        <v/>
      </c>
      <c r="K79" s="7" t="n">
        <v>6281.43</v>
      </c>
      <c r="L79" s="5">
        <f>J79-K79</f>
        <v/>
      </c>
      <c r="M79" s="11">
        <f>IF(K79=0,0,J79/K79)</f>
        <v/>
      </c>
    </row>
    <row r="80">
      <c r="A80" t="n">
        <v>7</v>
      </c>
      <c r="B80" t="n">
        <v>5</v>
      </c>
      <c r="C80" t="n">
        <v>67</v>
      </c>
      <c r="D80" s="10" t="n">
        <v>0.8</v>
      </c>
      <c r="E80" s="5" t="n">
        <v>850</v>
      </c>
      <c r="F80" s="5">
        <f>C80*D80*E80</f>
        <v/>
      </c>
      <c r="G80" s="5">
        <f>'Laundry Revenue'!I86</f>
        <v/>
      </c>
      <c r="H80" s="5">
        <f>F80+G80</f>
        <v/>
      </c>
      <c r="I80" s="5">
        <f>C80*344</f>
        <v/>
      </c>
      <c r="J80" s="5">
        <f>H80-I80</f>
        <v/>
      </c>
      <c r="K80" s="7" t="n">
        <v>6281.43</v>
      </c>
      <c r="L80" s="5">
        <f>J80-K80</f>
        <v/>
      </c>
      <c r="M80" s="11">
        <f>IF(K80=0,0,J80/K80)</f>
        <v/>
      </c>
    </row>
    <row r="81">
      <c r="A81" t="n">
        <v>7</v>
      </c>
      <c r="B81" t="n">
        <v>6</v>
      </c>
      <c r="C81" t="n">
        <v>67</v>
      </c>
      <c r="D81" s="10" t="n">
        <v>0.8</v>
      </c>
      <c r="E81" s="5" t="n">
        <v>850</v>
      </c>
      <c r="F81" s="5">
        <f>C81*D81*E81</f>
        <v/>
      </c>
      <c r="G81" s="5">
        <f>'Laundry Revenue'!I87</f>
        <v/>
      </c>
      <c r="H81" s="5">
        <f>F81+G81</f>
        <v/>
      </c>
      <c r="I81" s="5">
        <f>C81*344</f>
        <v/>
      </c>
      <c r="J81" s="5">
        <f>H81-I81</f>
        <v/>
      </c>
      <c r="K81" s="7" t="n">
        <v>6281.43</v>
      </c>
      <c r="L81" s="5">
        <f>J81-K81</f>
        <v/>
      </c>
      <c r="M81" s="11">
        <f>IF(K81=0,0,J81/K81)</f>
        <v/>
      </c>
    </row>
    <row r="82">
      <c r="A82" t="n">
        <v>7</v>
      </c>
      <c r="B82" t="n">
        <v>7</v>
      </c>
      <c r="C82" t="n">
        <v>67</v>
      </c>
      <c r="D82" s="10" t="n">
        <v>0.8</v>
      </c>
      <c r="E82" s="5" t="n">
        <v>850</v>
      </c>
      <c r="F82" s="5">
        <f>C82*D82*E82</f>
        <v/>
      </c>
      <c r="G82" s="5">
        <f>'Laundry Revenue'!I88</f>
        <v/>
      </c>
      <c r="H82" s="5">
        <f>F82+G82</f>
        <v/>
      </c>
      <c r="I82" s="5">
        <f>C82*344</f>
        <v/>
      </c>
      <c r="J82" s="5">
        <f>H82-I82</f>
        <v/>
      </c>
      <c r="K82" s="7" t="n">
        <v>6281.43</v>
      </c>
      <c r="L82" s="5">
        <f>J82-K82</f>
        <v/>
      </c>
      <c r="M82" s="11">
        <f>IF(K82=0,0,J82/K82)</f>
        <v/>
      </c>
    </row>
    <row r="83">
      <c r="A83" t="n">
        <v>7</v>
      </c>
      <c r="B83" t="n">
        <v>8</v>
      </c>
      <c r="C83" t="n">
        <v>67</v>
      </c>
      <c r="D83" s="10" t="n">
        <v>0.8</v>
      </c>
      <c r="E83" s="5" t="n">
        <v>850</v>
      </c>
      <c r="F83" s="5">
        <f>C83*D83*E83</f>
        <v/>
      </c>
      <c r="G83" s="5">
        <f>'Laundry Revenue'!I89</f>
        <v/>
      </c>
      <c r="H83" s="5">
        <f>F83+G83</f>
        <v/>
      </c>
      <c r="I83" s="5">
        <f>C83*344</f>
        <v/>
      </c>
      <c r="J83" s="5">
        <f>H83-I83</f>
        <v/>
      </c>
      <c r="K83" s="7" t="n">
        <v>6281.43</v>
      </c>
      <c r="L83" s="5">
        <f>J83-K83</f>
        <v/>
      </c>
      <c r="M83" s="11">
        <f>IF(K83=0,0,J83/K83)</f>
        <v/>
      </c>
    </row>
    <row r="84">
      <c r="A84" t="n">
        <v>7</v>
      </c>
      <c r="B84" t="n">
        <v>9</v>
      </c>
      <c r="C84" t="n">
        <v>67</v>
      </c>
      <c r="D84" s="10" t="n">
        <v>0.8</v>
      </c>
      <c r="E84" s="5" t="n">
        <v>850</v>
      </c>
      <c r="F84" s="5">
        <f>C84*D84*E84</f>
        <v/>
      </c>
      <c r="G84" s="5">
        <f>'Laundry Revenue'!I90</f>
        <v/>
      </c>
      <c r="H84" s="5">
        <f>F84+G84</f>
        <v/>
      </c>
      <c r="I84" s="5">
        <f>C84*344</f>
        <v/>
      </c>
      <c r="J84" s="5">
        <f>H84-I84</f>
        <v/>
      </c>
      <c r="K84" s="7" t="n">
        <v>6281.43</v>
      </c>
      <c r="L84" s="5">
        <f>J84-K84</f>
        <v/>
      </c>
      <c r="M84" s="11">
        <f>IF(K84=0,0,J84/K84)</f>
        <v/>
      </c>
    </row>
    <row r="85">
      <c r="A85" t="n">
        <v>7</v>
      </c>
      <c r="B85" t="n">
        <v>10</v>
      </c>
      <c r="C85" t="n">
        <v>67</v>
      </c>
      <c r="D85" s="10" t="n">
        <v>0.8</v>
      </c>
      <c r="E85" s="5" t="n">
        <v>850</v>
      </c>
      <c r="F85" s="5">
        <f>C85*D85*E85</f>
        <v/>
      </c>
      <c r="G85" s="5">
        <f>'Laundry Revenue'!I91</f>
        <v/>
      </c>
      <c r="H85" s="5">
        <f>F85+G85</f>
        <v/>
      </c>
      <c r="I85" s="5">
        <f>C85*344</f>
        <v/>
      </c>
      <c r="J85" s="5">
        <f>H85-I85</f>
        <v/>
      </c>
      <c r="K85" s="7" t="n">
        <v>6281.43</v>
      </c>
      <c r="L85" s="5">
        <f>J85-K85</f>
        <v/>
      </c>
      <c r="M85" s="11">
        <f>IF(K85=0,0,J85/K85)</f>
        <v/>
      </c>
    </row>
    <row r="86">
      <c r="A86" t="n">
        <v>7</v>
      </c>
      <c r="B86" t="n">
        <v>11</v>
      </c>
      <c r="C86" t="n">
        <v>67</v>
      </c>
      <c r="D86" s="10" t="n">
        <v>0.8</v>
      </c>
      <c r="E86" s="5" t="n">
        <v>850</v>
      </c>
      <c r="F86" s="5">
        <f>C86*D86*E86</f>
        <v/>
      </c>
      <c r="G86" s="5">
        <f>'Laundry Revenue'!I92</f>
        <v/>
      </c>
      <c r="H86" s="5">
        <f>F86+G86</f>
        <v/>
      </c>
      <c r="I86" s="5">
        <f>C86*344</f>
        <v/>
      </c>
      <c r="J86" s="5">
        <f>H86-I86</f>
        <v/>
      </c>
      <c r="K86" s="7" t="n">
        <v>6281.43</v>
      </c>
      <c r="L86" s="5">
        <f>J86-K86</f>
        <v/>
      </c>
      <c r="M86" s="11">
        <f>IF(K86=0,0,J86/K86)</f>
        <v/>
      </c>
    </row>
    <row r="87">
      <c r="A87" t="n">
        <v>7</v>
      </c>
      <c r="B87" t="n">
        <v>12</v>
      </c>
      <c r="C87" t="n">
        <v>67</v>
      </c>
      <c r="D87" s="10" t="n">
        <v>0.8</v>
      </c>
      <c r="E87" s="5" t="n">
        <v>850</v>
      </c>
      <c r="F87" s="5">
        <f>C87*D87*E87</f>
        <v/>
      </c>
      <c r="G87" s="5">
        <f>'Laundry Revenue'!I93</f>
        <v/>
      </c>
      <c r="H87" s="5">
        <f>F87+G87</f>
        <v/>
      </c>
      <c r="I87" s="5">
        <f>C87*344</f>
        <v/>
      </c>
      <c r="J87" s="5">
        <f>H87-I87</f>
        <v/>
      </c>
      <c r="K87" s="7" t="n">
        <v>6281.43</v>
      </c>
      <c r="L87" s="5">
        <f>J87-K87</f>
        <v/>
      </c>
      <c r="M87" s="11">
        <f>IF(K87=0,0,J87/K87)</f>
        <v/>
      </c>
    </row>
    <row r="88">
      <c r="A88" t="n">
        <v>8</v>
      </c>
      <c r="B88" t="n">
        <v>1</v>
      </c>
      <c r="C88" t="n">
        <v>67</v>
      </c>
      <c r="D88" s="10" t="n">
        <v>0.8</v>
      </c>
      <c r="E88" s="5" t="n">
        <v>850</v>
      </c>
      <c r="F88" s="5">
        <f>C88*D88*E88</f>
        <v/>
      </c>
      <c r="G88" s="5">
        <f>'Laundry Revenue'!I94</f>
        <v/>
      </c>
      <c r="H88" s="5">
        <f>F88+G88</f>
        <v/>
      </c>
      <c r="I88" s="5">
        <f>C88*344</f>
        <v/>
      </c>
      <c r="J88" s="5">
        <f>H88-I88</f>
        <v/>
      </c>
      <c r="K88" s="7" t="n">
        <v>6281.43</v>
      </c>
      <c r="L88" s="5">
        <f>J88-K88</f>
        <v/>
      </c>
      <c r="M88" s="11">
        <f>IF(K88=0,0,J88/K88)</f>
        <v/>
      </c>
    </row>
    <row r="89">
      <c r="A89" t="n">
        <v>8</v>
      </c>
      <c r="B89" t="n">
        <v>2</v>
      </c>
      <c r="C89" t="n">
        <v>67</v>
      </c>
      <c r="D89" s="10" t="n">
        <v>0.8</v>
      </c>
      <c r="E89" s="5" t="n">
        <v>850</v>
      </c>
      <c r="F89" s="5">
        <f>C89*D89*E89</f>
        <v/>
      </c>
      <c r="G89" s="5">
        <f>'Laundry Revenue'!I95</f>
        <v/>
      </c>
      <c r="H89" s="5">
        <f>F89+G89</f>
        <v/>
      </c>
      <c r="I89" s="5">
        <f>C89*344</f>
        <v/>
      </c>
      <c r="J89" s="5">
        <f>H89-I89</f>
        <v/>
      </c>
      <c r="K89" s="7" t="n">
        <v>6281.43</v>
      </c>
      <c r="L89" s="5">
        <f>J89-K89</f>
        <v/>
      </c>
      <c r="M89" s="11">
        <f>IF(K89=0,0,J89/K89)</f>
        <v/>
      </c>
    </row>
    <row r="90">
      <c r="A90" t="n">
        <v>8</v>
      </c>
      <c r="B90" t="n">
        <v>3</v>
      </c>
      <c r="C90" t="n">
        <v>67</v>
      </c>
      <c r="D90" s="10" t="n">
        <v>0.8</v>
      </c>
      <c r="E90" s="5" t="n">
        <v>850</v>
      </c>
      <c r="F90" s="5">
        <f>C90*D90*E90</f>
        <v/>
      </c>
      <c r="G90" s="5">
        <f>'Laundry Revenue'!I96</f>
        <v/>
      </c>
      <c r="H90" s="5">
        <f>F90+G90</f>
        <v/>
      </c>
      <c r="I90" s="5">
        <f>C90*344</f>
        <v/>
      </c>
      <c r="J90" s="5">
        <f>H90-I90</f>
        <v/>
      </c>
      <c r="K90" s="7" t="n">
        <v>6281.43</v>
      </c>
      <c r="L90" s="5">
        <f>J90-K90</f>
        <v/>
      </c>
      <c r="M90" s="11">
        <f>IF(K90=0,0,J90/K90)</f>
        <v/>
      </c>
    </row>
    <row r="91">
      <c r="A91" t="n">
        <v>8</v>
      </c>
      <c r="B91" t="n">
        <v>4</v>
      </c>
      <c r="C91" t="n">
        <v>67</v>
      </c>
      <c r="D91" s="10" t="n">
        <v>0.8</v>
      </c>
      <c r="E91" s="5" t="n">
        <v>850</v>
      </c>
      <c r="F91" s="5">
        <f>C91*D91*E91</f>
        <v/>
      </c>
      <c r="G91" s="5">
        <f>'Laundry Revenue'!I97</f>
        <v/>
      </c>
      <c r="H91" s="5">
        <f>F91+G91</f>
        <v/>
      </c>
      <c r="I91" s="5">
        <f>C91*344</f>
        <v/>
      </c>
      <c r="J91" s="5">
        <f>H91-I91</f>
        <v/>
      </c>
      <c r="K91" s="7" t="n">
        <v>6281.43</v>
      </c>
      <c r="L91" s="5">
        <f>J91-K91</f>
        <v/>
      </c>
      <c r="M91" s="11">
        <f>IF(K91=0,0,J91/K91)</f>
        <v/>
      </c>
    </row>
    <row r="92">
      <c r="A92" t="n">
        <v>8</v>
      </c>
      <c r="B92" t="n">
        <v>5</v>
      </c>
      <c r="C92" t="n">
        <v>67</v>
      </c>
      <c r="D92" s="10" t="n">
        <v>0.8</v>
      </c>
      <c r="E92" s="5" t="n">
        <v>850</v>
      </c>
      <c r="F92" s="5">
        <f>C92*D92*E92</f>
        <v/>
      </c>
      <c r="G92" s="5">
        <f>'Laundry Revenue'!I98</f>
        <v/>
      </c>
      <c r="H92" s="5">
        <f>F92+G92</f>
        <v/>
      </c>
      <c r="I92" s="5">
        <f>C92*344</f>
        <v/>
      </c>
      <c r="J92" s="5">
        <f>H92-I92</f>
        <v/>
      </c>
      <c r="K92" s="7" t="n">
        <v>6281.43</v>
      </c>
      <c r="L92" s="5">
        <f>J92-K92</f>
        <v/>
      </c>
      <c r="M92" s="11">
        <f>IF(K92=0,0,J92/K92)</f>
        <v/>
      </c>
    </row>
    <row r="93">
      <c r="A93" t="n">
        <v>8</v>
      </c>
      <c r="B93" t="n">
        <v>6</v>
      </c>
      <c r="C93" t="n">
        <v>67</v>
      </c>
      <c r="D93" s="10" t="n">
        <v>0.8</v>
      </c>
      <c r="E93" s="5" t="n">
        <v>850</v>
      </c>
      <c r="F93" s="5">
        <f>C93*D93*E93</f>
        <v/>
      </c>
      <c r="G93" s="5">
        <f>'Laundry Revenue'!I99</f>
        <v/>
      </c>
      <c r="H93" s="5">
        <f>F93+G93</f>
        <v/>
      </c>
      <c r="I93" s="5">
        <f>C93*344</f>
        <v/>
      </c>
      <c r="J93" s="5">
        <f>H93-I93</f>
        <v/>
      </c>
      <c r="K93" s="7" t="n">
        <v>6281.43</v>
      </c>
      <c r="L93" s="5">
        <f>J93-K93</f>
        <v/>
      </c>
      <c r="M93" s="11">
        <f>IF(K93=0,0,J93/K93)</f>
        <v/>
      </c>
    </row>
    <row r="94">
      <c r="A94" t="n">
        <v>8</v>
      </c>
      <c r="B94" t="n">
        <v>7</v>
      </c>
      <c r="C94" t="n">
        <v>67</v>
      </c>
      <c r="D94" s="10" t="n">
        <v>0.8</v>
      </c>
      <c r="E94" s="5" t="n">
        <v>850</v>
      </c>
      <c r="F94" s="5">
        <f>C94*D94*E94</f>
        <v/>
      </c>
      <c r="G94" s="5">
        <f>'Laundry Revenue'!I100</f>
        <v/>
      </c>
      <c r="H94" s="5">
        <f>F94+G94</f>
        <v/>
      </c>
      <c r="I94" s="5">
        <f>C94*344</f>
        <v/>
      </c>
      <c r="J94" s="5">
        <f>H94-I94</f>
        <v/>
      </c>
      <c r="K94" s="7" t="n">
        <v>6281.43</v>
      </c>
      <c r="L94" s="5">
        <f>J94-K94</f>
        <v/>
      </c>
      <c r="M94" s="11">
        <f>IF(K94=0,0,J94/K94)</f>
        <v/>
      </c>
    </row>
    <row r="95">
      <c r="A95" t="n">
        <v>8</v>
      </c>
      <c r="B95" t="n">
        <v>8</v>
      </c>
      <c r="C95" t="n">
        <v>67</v>
      </c>
      <c r="D95" s="10" t="n">
        <v>0.8</v>
      </c>
      <c r="E95" s="5" t="n">
        <v>850</v>
      </c>
      <c r="F95" s="5">
        <f>C95*D95*E95</f>
        <v/>
      </c>
      <c r="G95" s="5">
        <f>'Laundry Revenue'!I101</f>
        <v/>
      </c>
      <c r="H95" s="5">
        <f>F95+G95</f>
        <v/>
      </c>
      <c r="I95" s="5">
        <f>C95*344</f>
        <v/>
      </c>
      <c r="J95" s="5">
        <f>H95-I95</f>
        <v/>
      </c>
      <c r="K95" s="7" t="n">
        <v>6281.43</v>
      </c>
      <c r="L95" s="5">
        <f>J95-K95</f>
        <v/>
      </c>
      <c r="M95" s="11">
        <f>IF(K95=0,0,J95/K95)</f>
        <v/>
      </c>
    </row>
    <row r="96">
      <c r="A96" t="n">
        <v>8</v>
      </c>
      <c r="B96" t="n">
        <v>9</v>
      </c>
      <c r="C96" t="n">
        <v>67</v>
      </c>
      <c r="D96" s="10" t="n">
        <v>0.8</v>
      </c>
      <c r="E96" s="5" t="n">
        <v>850</v>
      </c>
      <c r="F96" s="5">
        <f>C96*D96*E96</f>
        <v/>
      </c>
      <c r="G96" s="5">
        <f>'Laundry Revenue'!I102</f>
        <v/>
      </c>
      <c r="H96" s="5">
        <f>F96+G96</f>
        <v/>
      </c>
      <c r="I96" s="5">
        <f>C96*344</f>
        <v/>
      </c>
      <c r="J96" s="5">
        <f>H96-I96</f>
        <v/>
      </c>
      <c r="K96" s="7" t="n">
        <v>6281.43</v>
      </c>
      <c r="L96" s="5">
        <f>J96-K96</f>
        <v/>
      </c>
      <c r="M96" s="11">
        <f>IF(K96=0,0,J96/K96)</f>
        <v/>
      </c>
    </row>
    <row r="97">
      <c r="A97" t="n">
        <v>8</v>
      </c>
      <c r="B97" t="n">
        <v>10</v>
      </c>
      <c r="C97" t="n">
        <v>67</v>
      </c>
      <c r="D97" s="10" t="n">
        <v>0.8</v>
      </c>
      <c r="E97" s="5" t="n">
        <v>850</v>
      </c>
      <c r="F97" s="5">
        <f>C97*D97*E97</f>
        <v/>
      </c>
      <c r="G97" s="5">
        <f>'Laundry Revenue'!I103</f>
        <v/>
      </c>
      <c r="H97" s="5">
        <f>F97+G97</f>
        <v/>
      </c>
      <c r="I97" s="5">
        <f>C97*344</f>
        <v/>
      </c>
      <c r="J97" s="5">
        <f>H97-I97</f>
        <v/>
      </c>
      <c r="K97" s="7" t="n">
        <v>6281.43</v>
      </c>
      <c r="L97" s="5">
        <f>J97-K97</f>
        <v/>
      </c>
      <c r="M97" s="11">
        <f>IF(K97=0,0,J97/K97)</f>
        <v/>
      </c>
    </row>
    <row r="98">
      <c r="A98" t="n">
        <v>8</v>
      </c>
      <c r="B98" t="n">
        <v>11</v>
      </c>
      <c r="C98" t="n">
        <v>67</v>
      </c>
      <c r="D98" s="10" t="n">
        <v>0.8</v>
      </c>
      <c r="E98" s="5" t="n">
        <v>850</v>
      </c>
      <c r="F98" s="5">
        <f>C98*D98*E98</f>
        <v/>
      </c>
      <c r="G98" s="5">
        <f>'Laundry Revenue'!I104</f>
        <v/>
      </c>
      <c r="H98" s="5">
        <f>F98+G98</f>
        <v/>
      </c>
      <c r="I98" s="5">
        <f>C98*344</f>
        <v/>
      </c>
      <c r="J98" s="5">
        <f>H98-I98</f>
        <v/>
      </c>
      <c r="K98" s="7" t="n">
        <v>6281.43</v>
      </c>
      <c r="L98" s="5">
        <f>J98-K98</f>
        <v/>
      </c>
      <c r="M98" s="11">
        <f>IF(K98=0,0,J98/K98)</f>
        <v/>
      </c>
    </row>
    <row r="99">
      <c r="A99" t="n">
        <v>8</v>
      </c>
      <c r="B99" t="n">
        <v>12</v>
      </c>
      <c r="C99" t="n">
        <v>67</v>
      </c>
      <c r="D99" s="10" t="n">
        <v>0.8</v>
      </c>
      <c r="E99" s="5" t="n">
        <v>850</v>
      </c>
      <c r="F99" s="5">
        <f>C99*D99*E99</f>
        <v/>
      </c>
      <c r="G99" s="5">
        <f>'Laundry Revenue'!I105</f>
        <v/>
      </c>
      <c r="H99" s="5">
        <f>F99+G99</f>
        <v/>
      </c>
      <c r="I99" s="5">
        <f>C99*344</f>
        <v/>
      </c>
      <c r="J99" s="5">
        <f>H99-I99</f>
        <v/>
      </c>
      <c r="K99" s="7" t="n">
        <v>6281.43</v>
      </c>
      <c r="L99" s="5">
        <f>J99-K99</f>
        <v/>
      </c>
      <c r="M99" s="11">
        <f>IF(K99=0,0,J99/K99)</f>
        <v/>
      </c>
    </row>
    <row r="100">
      <c r="A100" t="n">
        <v>9</v>
      </c>
      <c r="B100" t="n">
        <v>1</v>
      </c>
      <c r="C100" t="n">
        <v>67</v>
      </c>
      <c r="D100" s="10" t="n">
        <v>0.8</v>
      </c>
      <c r="E100" s="5" t="n">
        <v>850</v>
      </c>
      <c r="F100" s="5">
        <f>C100*D100*E100</f>
        <v/>
      </c>
      <c r="G100" s="5">
        <f>'Laundry Revenue'!I106</f>
        <v/>
      </c>
      <c r="H100" s="5">
        <f>F100+G100</f>
        <v/>
      </c>
      <c r="I100" s="5">
        <f>C100*344</f>
        <v/>
      </c>
      <c r="J100" s="5">
        <f>H100-I100</f>
        <v/>
      </c>
      <c r="K100" s="7" t="n">
        <v>6281.43</v>
      </c>
      <c r="L100" s="5">
        <f>J100-K100</f>
        <v/>
      </c>
      <c r="M100" s="11">
        <f>IF(K100=0,0,J100/K100)</f>
        <v/>
      </c>
    </row>
    <row r="101">
      <c r="A101" t="n">
        <v>9</v>
      </c>
      <c r="B101" t="n">
        <v>2</v>
      </c>
      <c r="C101" t="n">
        <v>67</v>
      </c>
      <c r="D101" s="10" t="n">
        <v>0.8</v>
      </c>
      <c r="E101" s="5" t="n">
        <v>850</v>
      </c>
      <c r="F101" s="5">
        <f>C101*D101*E101</f>
        <v/>
      </c>
      <c r="G101" s="5">
        <f>'Laundry Revenue'!I107</f>
        <v/>
      </c>
      <c r="H101" s="5">
        <f>F101+G101</f>
        <v/>
      </c>
      <c r="I101" s="5">
        <f>C101*344</f>
        <v/>
      </c>
      <c r="J101" s="5">
        <f>H101-I101</f>
        <v/>
      </c>
      <c r="K101" s="7" t="n">
        <v>6281.43</v>
      </c>
      <c r="L101" s="5">
        <f>J101-K101</f>
        <v/>
      </c>
      <c r="M101" s="11">
        <f>IF(K101=0,0,J101/K101)</f>
        <v/>
      </c>
    </row>
    <row r="102">
      <c r="A102" t="n">
        <v>9</v>
      </c>
      <c r="B102" t="n">
        <v>3</v>
      </c>
      <c r="C102" t="n">
        <v>67</v>
      </c>
      <c r="D102" s="10" t="n">
        <v>0.8</v>
      </c>
      <c r="E102" s="5" t="n">
        <v>850</v>
      </c>
      <c r="F102" s="5">
        <f>C102*D102*E102</f>
        <v/>
      </c>
      <c r="G102" s="5">
        <f>'Laundry Revenue'!I108</f>
        <v/>
      </c>
      <c r="H102" s="5">
        <f>F102+G102</f>
        <v/>
      </c>
      <c r="I102" s="5">
        <f>C102*344</f>
        <v/>
      </c>
      <c r="J102" s="5">
        <f>H102-I102</f>
        <v/>
      </c>
      <c r="K102" s="7" t="n">
        <v>6281.43</v>
      </c>
      <c r="L102" s="5">
        <f>J102-K102</f>
        <v/>
      </c>
      <c r="M102" s="11">
        <f>IF(K102=0,0,J102/K102)</f>
        <v/>
      </c>
    </row>
    <row r="103">
      <c r="A103" t="n">
        <v>9</v>
      </c>
      <c r="B103" t="n">
        <v>4</v>
      </c>
      <c r="C103" t="n">
        <v>67</v>
      </c>
      <c r="D103" s="10" t="n">
        <v>0.8</v>
      </c>
      <c r="E103" s="5" t="n">
        <v>850</v>
      </c>
      <c r="F103" s="5">
        <f>C103*D103*E103</f>
        <v/>
      </c>
      <c r="G103" s="5">
        <f>'Laundry Revenue'!I109</f>
        <v/>
      </c>
      <c r="H103" s="5">
        <f>F103+G103</f>
        <v/>
      </c>
      <c r="I103" s="5">
        <f>C103*344</f>
        <v/>
      </c>
      <c r="J103" s="5">
        <f>H103-I103</f>
        <v/>
      </c>
      <c r="K103" s="7" t="n">
        <v>6281.43</v>
      </c>
      <c r="L103" s="5">
        <f>J103-K103</f>
        <v/>
      </c>
      <c r="M103" s="11">
        <f>IF(K103=0,0,J103/K103)</f>
        <v/>
      </c>
    </row>
    <row r="104">
      <c r="A104" t="n">
        <v>9</v>
      </c>
      <c r="B104" t="n">
        <v>5</v>
      </c>
      <c r="C104" t="n">
        <v>67</v>
      </c>
      <c r="D104" s="10" t="n">
        <v>0.8</v>
      </c>
      <c r="E104" s="5" t="n">
        <v>850</v>
      </c>
      <c r="F104" s="5">
        <f>C104*D104*E104</f>
        <v/>
      </c>
      <c r="G104" s="5">
        <f>'Laundry Revenue'!I110</f>
        <v/>
      </c>
      <c r="H104" s="5">
        <f>F104+G104</f>
        <v/>
      </c>
      <c r="I104" s="5">
        <f>C104*344</f>
        <v/>
      </c>
      <c r="J104" s="5">
        <f>H104-I104</f>
        <v/>
      </c>
      <c r="K104" s="7" t="n">
        <v>6281.43</v>
      </c>
      <c r="L104" s="5">
        <f>J104-K104</f>
        <v/>
      </c>
      <c r="M104" s="11">
        <f>IF(K104=0,0,J104/K104)</f>
        <v/>
      </c>
    </row>
    <row r="105">
      <c r="A105" t="n">
        <v>9</v>
      </c>
      <c r="B105" t="n">
        <v>6</v>
      </c>
      <c r="C105" t="n">
        <v>67</v>
      </c>
      <c r="D105" s="10" t="n">
        <v>0.8</v>
      </c>
      <c r="E105" s="5" t="n">
        <v>850</v>
      </c>
      <c r="F105" s="5">
        <f>C105*D105*E105</f>
        <v/>
      </c>
      <c r="G105" s="5">
        <f>'Laundry Revenue'!I111</f>
        <v/>
      </c>
      <c r="H105" s="5">
        <f>F105+G105</f>
        <v/>
      </c>
      <c r="I105" s="5">
        <f>C105*344</f>
        <v/>
      </c>
      <c r="J105" s="5">
        <f>H105-I105</f>
        <v/>
      </c>
      <c r="K105" s="7" t="n">
        <v>6281.43</v>
      </c>
      <c r="L105" s="5">
        <f>J105-K105</f>
        <v/>
      </c>
      <c r="M105" s="11">
        <f>IF(K105=0,0,J105/K105)</f>
        <v/>
      </c>
    </row>
    <row r="106">
      <c r="A106" t="n">
        <v>9</v>
      </c>
      <c r="B106" t="n">
        <v>7</v>
      </c>
      <c r="C106" t="n">
        <v>67</v>
      </c>
      <c r="D106" s="10" t="n">
        <v>0.8</v>
      </c>
      <c r="E106" s="5" t="n">
        <v>850</v>
      </c>
      <c r="F106" s="5">
        <f>C106*D106*E106</f>
        <v/>
      </c>
      <c r="G106" s="5">
        <f>'Laundry Revenue'!I112</f>
        <v/>
      </c>
      <c r="H106" s="5">
        <f>F106+G106</f>
        <v/>
      </c>
      <c r="I106" s="5">
        <f>C106*344</f>
        <v/>
      </c>
      <c r="J106" s="5">
        <f>H106-I106</f>
        <v/>
      </c>
      <c r="K106" s="7" t="n">
        <v>6281.43</v>
      </c>
      <c r="L106" s="5">
        <f>J106-K106</f>
        <v/>
      </c>
      <c r="M106" s="11">
        <f>IF(K106=0,0,J106/K106)</f>
        <v/>
      </c>
    </row>
    <row r="107">
      <c r="A107" t="n">
        <v>9</v>
      </c>
      <c r="B107" t="n">
        <v>8</v>
      </c>
      <c r="C107" t="n">
        <v>67</v>
      </c>
      <c r="D107" s="10" t="n">
        <v>0.8</v>
      </c>
      <c r="E107" s="5" t="n">
        <v>850</v>
      </c>
      <c r="F107" s="5">
        <f>C107*D107*E107</f>
        <v/>
      </c>
      <c r="G107" s="5">
        <f>'Laundry Revenue'!I113</f>
        <v/>
      </c>
      <c r="H107" s="5">
        <f>F107+G107</f>
        <v/>
      </c>
      <c r="I107" s="5">
        <f>C107*344</f>
        <v/>
      </c>
      <c r="J107" s="5">
        <f>H107-I107</f>
        <v/>
      </c>
      <c r="K107" s="7" t="n">
        <v>6281.43</v>
      </c>
      <c r="L107" s="5">
        <f>J107-K107</f>
        <v/>
      </c>
      <c r="M107" s="11">
        <f>IF(K107=0,0,J107/K107)</f>
        <v/>
      </c>
    </row>
    <row r="108">
      <c r="A108" t="n">
        <v>9</v>
      </c>
      <c r="B108" t="n">
        <v>9</v>
      </c>
      <c r="C108" t="n">
        <v>67</v>
      </c>
      <c r="D108" s="10" t="n">
        <v>0.8</v>
      </c>
      <c r="E108" s="5" t="n">
        <v>850</v>
      </c>
      <c r="F108" s="5">
        <f>C108*D108*E108</f>
        <v/>
      </c>
      <c r="G108" s="5">
        <f>'Laundry Revenue'!I114</f>
        <v/>
      </c>
      <c r="H108" s="5">
        <f>F108+G108</f>
        <v/>
      </c>
      <c r="I108" s="5">
        <f>C108*344</f>
        <v/>
      </c>
      <c r="J108" s="5">
        <f>H108-I108</f>
        <v/>
      </c>
      <c r="K108" s="7" t="n">
        <v>6281.43</v>
      </c>
      <c r="L108" s="5">
        <f>J108-K108</f>
        <v/>
      </c>
      <c r="M108" s="11">
        <f>IF(K108=0,0,J108/K108)</f>
        <v/>
      </c>
    </row>
    <row r="109">
      <c r="A109" t="n">
        <v>9</v>
      </c>
      <c r="B109" t="n">
        <v>10</v>
      </c>
      <c r="C109" t="n">
        <v>67</v>
      </c>
      <c r="D109" s="10" t="n">
        <v>0.8</v>
      </c>
      <c r="E109" s="5" t="n">
        <v>850</v>
      </c>
      <c r="F109" s="5">
        <f>C109*D109*E109</f>
        <v/>
      </c>
      <c r="G109" s="5">
        <f>'Laundry Revenue'!I115</f>
        <v/>
      </c>
      <c r="H109" s="5">
        <f>F109+G109</f>
        <v/>
      </c>
      <c r="I109" s="5">
        <f>C109*344</f>
        <v/>
      </c>
      <c r="J109" s="5">
        <f>H109-I109</f>
        <v/>
      </c>
      <c r="K109" s="7" t="n">
        <v>6281.43</v>
      </c>
      <c r="L109" s="5">
        <f>J109-K109</f>
        <v/>
      </c>
      <c r="M109" s="11">
        <f>IF(K109=0,0,J109/K109)</f>
        <v/>
      </c>
    </row>
    <row r="110">
      <c r="A110" t="n">
        <v>9</v>
      </c>
      <c r="B110" t="n">
        <v>11</v>
      </c>
      <c r="C110" t="n">
        <v>67</v>
      </c>
      <c r="D110" s="10" t="n">
        <v>0.8</v>
      </c>
      <c r="E110" s="5" t="n">
        <v>850</v>
      </c>
      <c r="F110" s="5">
        <f>C110*D110*E110</f>
        <v/>
      </c>
      <c r="G110" s="5">
        <f>'Laundry Revenue'!I116</f>
        <v/>
      </c>
      <c r="H110" s="5">
        <f>F110+G110</f>
        <v/>
      </c>
      <c r="I110" s="5">
        <f>C110*344</f>
        <v/>
      </c>
      <c r="J110" s="5">
        <f>H110-I110</f>
        <v/>
      </c>
      <c r="K110" s="7" t="n">
        <v>6281.43</v>
      </c>
      <c r="L110" s="5">
        <f>J110-K110</f>
        <v/>
      </c>
      <c r="M110" s="11">
        <f>IF(K110=0,0,J110/K110)</f>
        <v/>
      </c>
    </row>
    <row r="111">
      <c r="A111" t="n">
        <v>9</v>
      </c>
      <c r="B111" t="n">
        <v>12</v>
      </c>
      <c r="C111" t="n">
        <v>67</v>
      </c>
      <c r="D111" s="10" t="n">
        <v>0.8</v>
      </c>
      <c r="E111" s="5" t="n">
        <v>850</v>
      </c>
      <c r="F111" s="5">
        <f>C111*D111*E111</f>
        <v/>
      </c>
      <c r="G111" s="5">
        <f>'Laundry Revenue'!I117</f>
        <v/>
      </c>
      <c r="H111" s="5">
        <f>F111+G111</f>
        <v/>
      </c>
      <c r="I111" s="5">
        <f>C111*344</f>
        <v/>
      </c>
      <c r="J111" s="5">
        <f>H111-I111</f>
        <v/>
      </c>
      <c r="K111" s="7" t="n">
        <v>6281.43</v>
      </c>
      <c r="L111" s="5">
        <f>J111-K111</f>
        <v/>
      </c>
      <c r="M111" s="11">
        <f>IF(K111=0,0,J111/K111)</f>
        <v/>
      </c>
    </row>
    <row r="112">
      <c r="A112" t="n">
        <v>10</v>
      </c>
      <c r="B112" t="n">
        <v>1</v>
      </c>
      <c r="C112" t="n">
        <v>67</v>
      </c>
      <c r="D112" s="10" t="n">
        <v>0.8</v>
      </c>
      <c r="E112" s="5" t="n">
        <v>850</v>
      </c>
      <c r="F112" s="5">
        <f>C112*D112*E112</f>
        <v/>
      </c>
      <c r="G112" s="5">
        <f>'Laundry Revenue'!I118</f>
        <v/>
      </c>
      <c r="H112" s="5">
        <f>F112+G112</f>
        <v/>
      </c>
      <c r="I112" s="5">
        <f>C112*344</f>
        <v/>
      </c>
      <c r="J112" s="5">
        <f>H112-I112</f>
        <v/>
      </c>
      <c r="K112" s="7" t="n">
        <v>6281.43</v>
      </c>
      <c r="L112" s="5">
        <f>J112-K112</f>
        <v/>
      </c>
      <c r="M112" s="11">
        <f>IF(K112=0,0,J112/K112)</f>
        <v/>
      </c>
    </row>
    <row r="113">
      <c r="A113" t="n">
        <v>10</v>
      </c>
      <c r="B113" t="n">
        <v>2</v>
      </c>
      <c r="C113" t="n">
        <v>67</v>
      </c>
      <c r="D113" s="10" t="n">
        <v>0.8</v>
      </c>
      <c r="E113" s="5" t="n">
        <v>850</v>
      </c>
      <c r="F113" s="5">
        <f>C113*D113*E113</f>
        <v/>
      </c>
      <c r="G113" s="5">
        <f>'Laundry Revenue'!I119</f>
        <v/>
      </c>
      <c r="H113" s="5">
        <f>F113+G113</f>
        <v/>
      </c>
      <c r="I113" s="5">
        <f>C113*344</f>
        <v/>
      </c>
      <c r="J113" s="5">
        <f>H113-I113</f>
        <v/>
      </c>
      <c r="K113" s="7" t="n">
        <v>6281.43</v>
      </c>
      <c r="L113" s="5">
        <f>J113-K113</f>
        <v/>
      </c>
      <c r="M113" s="11">
        <f>IF(K113=0,0,J113/K113)</f>
        <v/>
      </c>
    </row>
    <row r="114">
      <c r="A114" t="n">
        <v>10</v>
      </c>
      <c r="B114" t="n">
        <v>3</v>
      </c>
      <c r="C114" t="n">
        <v>67</v>
      </c>
      <c r="D114" s="10" t="n">
        <v>0.8</v>
      </c>
      <c r="E114" s="5" t="n">
        <v>850</v>
      </c>
      <c r="F114" s="5">
        <f>C114*D114*E114</f>
        <v/>
      </c>
      <c r="G114" s="5">
        <f>'Laundry Revenue'!I120</f>
        <v/>
      </c>
      <c r="H114" s="5">
        <f>F114+G114</f>
        <v/>
      </c>
      <c r="I114" s="5">
        <f>C114*344</f>
        <v/>
      </c>
      <c r="J114" s="5">
        <f>H114-I114</f>
        <v/>
      </c>
      <c r="K114" s="7" t="n">
        <v>6281.43</v>
      </c>
      <c r="L114" s="5">
        <f>J114-K114</f>
        <v/>
      </c>
      <c r="M114" s="11">
        <f>IF(K114=0,0,J114/K114)</f>
        <v/>
      </c>
    </row>
    <row r="115">
      <c r="A115" t="n">
        <v>10</v>
      </c>
      <c r="B115" t="n">
        <v>4</v>
      </c>
      <c r="C115" t="n">
        <v>67</v>
      </c>
      <c r="D115" s="10" t="n">
        <v>0.8</v>
      </c>
      <c r="E115" s="5" t="n">
        <v>850</v>
      </c>
      <c r="F115" s="5">
        <f>C115*D115*E115</f>
        <v/>
      </c>
      <c r="G115" s="5">
        <f>'Laundry Revenue'!I121</f>
        <v/>
      </c>
      <c r="H115" s="5">
        <f>F115+G115</f>
        <v/>
      </c>
      <c r="I115" s="5">
        <f>C115*344</f>
        <v/>
      </c>
      <c r="J115" s="5">
        <f>H115-I115</f>
        <v/>
      </c>
      <c r="K115" s="7" t="n">
        <v>6281.43</v>
      </c>
      <c r="L115" s="5">
        <f>J115-K115</f>
        <v/>
      </c>
      <c r="M115" s="11">
        <f>IF(K115=0,0,J115/K115)</f>
        <v/>
      </c>
    </row>
    <row r="116">
      <c r="A116" t="n">
        <v>10</v>
      </c>
      <c r="B116" t="n">
        <v>5</v>
      </c>
      <c r="C116" t="n">
        <v>67</v>
      </c>
      <c r="D116" s="10" t="n">
        <v>0.8</v>
      </c>
      <c r="E116" s="5" t="n">
        <v>850</v>
      </c>
      <c r="F116" s="5">
        <f>C116*D116*E116</f>
        <v/>
      </c>
      <c r="G116" s="5">
        <f>'Laundry Revenue'!I122</f>
        <v/>
      </c>
      <c r="H116" s="5">
        <f>F116+G116</f>
        <v/>
      </c>
      <c r="I116" s="5">
        <f>C116*344</f>
        <v/>
      </c>
      <c r="J116" s="5">
        <f>H116-I116</f>
        <v/>
      </c>
      <c r="K116" s="7" t="n">
        <v>6281.43</v>
      </c>
      <c r="L116" s="5">
        <f>J116-K116</f>
        <v/>
      </c>
      <c r="M116" s="11">
        <f>IF(K116=0,0,J116/K116)</f>
        <v/>
      </c>
    </row>
    <row r="117">
      <c r="A117" t="n">
        <v>10</v>
      </c>
      <c r="B117" t="n">
        <v>6</v>
      </c>
      <c r="C117" t="n">
        <v>67</v>
      </c>
      <c r="D117" s="10" t="n">
        <v>0.8</v>
      </c>
      <c r="E117" s="5" t="n">
        <v>850</v>
      </c>
      <c r="F117" s="5">
        <f>C117*D117*E117</f>
        <v/>
      </c>
      <c r="G117" s="5">
        <f>'Laundry Revenue'!I123</f>
        <v/>
      </c>
      <c r="H117" s="5">
        <f>F117+G117</f>
        <v/>
      </c>
      <c r="I117" s="5">
        <f>C117*344</f>
        <v/>
      </c>
      <c r="J117" s="5">
        <f>H117-I117</f>
        <v/>
      </c>
      <c r="K117" s="7" t="n">
        <v>6281.43</v>
      </c>
      <c r="L117" s="5">
        <f>J117-K117</f>
        <v/>
      </c>
      <c r="M117" s="11">
        <f>IF(K117=0,0,J117/K117)</f>
        <v/>
      </c>
    </row>
    <row r="118">
      <c r="A118" t="n">
        <v>10</v>
      </c>
      <c r="B118" t="n">
        <v>7</v>
      </c>
      <c r="C118" t="n">
        <v>67</v>
      </c>
      <c r="D118" s="10" t="n">
        <v>0.8</v>
      </c>
      <c r="E118" s="5" t="n">
        <v>850</v>
      </c>
      <c r="F118" s="5">
        <f>C118*D118*E118</f>
        <v/>
      </c>
      <c r="G118" s="5">
        <f>'Laundry Revenue'!I124</f>
        <v/>
      </c>
      <c r="H118" s="5">
        <f>F118+G118</f>
        <v/>
      </c>
      <c r="I118" s="5">
        <f>C118*344</f>
        <v/>
      </c>
      <c r="J118" s="5">
        <f>H118-I118</f>
        <v/>
      </c>
      <c r="K118" s="7" t="n">
        <v>6281.43</v>
      </c>
      <c r="L118" s="5">
        <f>J118-K118</f>
        <v/>
      </c>
      <c r="M118" s="11">
        <f>IF(K118=0,0,J118/K118)</f>
        <v/>
      </c>
    </row>
    <row r="119">
      <c r="A119" t="n">
        <v>10</v>
      </c>
      <c r="B119" t="n">
        <v>8</v>
      </c>
      <c r="C119" t="n">
        <v>67</v>
      </c>
      <c r="D119" s="10" t="n">
        <v>0.8</v>
      </c>
      <c r="E119" s="5" t="n">
        <v>850</v>
      </c>
      <c r="F119" s="5">
        <f>C119*D119*E119</f>
        <v/>
      </c>
      <c r="G119" s="5">
        <f>'Laundry Revenue'!I125</f>
        <v/>
      </c>
      <c r="H119" s="5">
        <f>F119+G119</f>
        <v/>
      </c>
      <c r="I119" s="5">
        <f>C119*344</f>
        <v/>
      </c>
      <c r="J119" s="5">
        <f>H119-I119</f>
        <v/>
      </c>
      <c r="K119" s="7" t="n">
        <v>6281.43</v>
      </c>
      <c r="L119" s="5">
        <f>J119-K119</f>
        <v/>
      </c>
      <c r="M119" s="11">
        <f>IF(K119=0,0,J119/K119)</f>
        <v/>
      </c>
    </row>
    <row r="120">
      <c r="A120" t="n">
        <v>10</v>
      </c>
      <c r="B120" t="n">
        <v>9</v>
      </c>
      <c r="C120" t="n">
        <v>67</v>
      </c>
      <c r="D120" s="10" t="n">
        <v>0.8</v>
      </c>
      <c r="E120" s="5" t="n">
        <v>850</v>
      </c>
      <c r="F120" s="5">
        <f>C120*D120*E120</f>
        <v/>
      </c>
      <c r="G120" s="5">
        <f>'Laundry Revenue'!I126</f>
        <v/>
      </c>
      <c r="H120" s="5">
        <f>F120+G120</f>
        <v/>
      </c>
      <c r="I120" s="5">
        <f>C120*344</f>
        <v/>
      </c>
      <c r="J120" s="5">
        <f>H120-I120</f>
        <v/>
      </c>
      <c r="K120" s="7" t="n">
        <v>6281.43</v>
      </c>
      <c r="L120" s="5">
        <f>J120-K120</f>
        <v/>
      </c>
      <c r="M120" s="11">
        <f>IF(K120=0,0,J120/K120)</f>
        <v/>
      </c>
    </row>
    <row r="121">
      <c r="A121" t="n">
        <v>10</v>
      </c>
      <c r="B121" t="n">
        <v>10</v>
      </c>
      <c r="C121" t="n">
        <v>67</v>
      </c>
      <c r="D121" s="10" t="n">
        <v>0.8</v>
      </c>
      <c r="E121" s="5" t="n">
        <v>850</v>
      </c>
      <c r="F121" s="5">
        <f>C121*D121*E121</f>
        <v/>
      </c>
      <c r="G121" s="5">
        <f>'Laundry Revenue'!I127</f>
        <v/>
      </c>
      <c r="H121" s="5">
        <f>F121+G121</f>
        <v/>
      </c>
      <c r="I121" s="5">
        <f>C121*344</f>
        <v/>
      </c>
      <c r="J121" s="5">
        <f>H121-I121</f>
        <v/>
      </c>
      <c r="K121" s="7" t="n">
        <v>6281.43</v>
      </c>
      <c r="L121" s="5">
        <f>J121-K121</f>
        <v/>
      </c>
      <c r="M121" s="11">
        <f>IF(K121=0,0,J121/K121)</f>
        <v/>
      </c>
    </row>
    <row r="122">
      <c r="A122" t="n">
        <v>10</v>
      </c>
      <c r="B122" t="n">
        <v>11</v>
      </c>
      <c r="C122" t="n">
        <v>67</v>
      </c>
      <c r="D122" s="10" t="n">
        <v>0.8</v>
      </c>
      <c r="E122" s="5" t="n">
        <v>850</v>
      </c>
      <c r="F122" s="5">
        <f>C122*D122*E122</f>
        <v/>
      </c>
      <c r="G122" s="5">
        <f>'Laundry Revenue'!I128</f>
        <v/>
      </c>
      <c r="H122" s="5">
        <f>F122+G122</f>
        <v/>
      </c>
      <c r="I122" s="5">
        <f>C122*344</f>
        <v/>
      </c>
      <c r="J122" s="5">
        <f>H122-I122</f>
        <v/>
      </c>
      <c r="K122" s="7" t="n">
        <v>6281.43</v>
      </c>
      <c r="L122" s="5">
        <f>J122-K122</f>
        <v/>
      </c>
      <c r="M122" s="11">
        <f>IF(K122=0,0,J122/K122)</f>
        <v/>
      </c>
    </row>
    <row r="123">
      <c r="A123" t="n">
        <v>10</v>
      </c>
      <c r="B123" t="n">
        <v>12</v>
      </c>
      <c r="C123" t="n">
        <v>67</v>
      </c>
      <c r="D123" s="10" t="n">
        <v>0.8</v>
      </c>
      <c r="E123" s="5" t="n">
        <v>850</v>
      </c>
      <c r="F123" s="5">
        <f>C123*D123*E123</f>
        <v/>
      </c>
      <c r="G123" s="5">
        <f>'Laundry Revenue'!I129</f>
        <v/>
      </c>
      <c r="H123" s="5">
        <f>F123+G123</f>
        <v/>
      </c>
      <c r="I123" s="5">
        <f>C123*344</f>
        <v/>
      </c>
      <c r="J123" s="5">
        <f>H123-I123</f>
        <v/>
      </c>
      <c r="K123" s="7" t="n">
        <v>6281.43</v>
      </c>
      <c r="L123" s="5">
        <f>J123-K123</f>
        <v/>
      </c>
      <c r="M123" s="11">
        <f>IF(K123=0,0,J123/K123)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ANNUAL SUMMARY &amp; KEY METRICS</t>
        </is>
      </c>
    </row>
    <row r="3">
      <c r="A3" s="4" t="inlineStr">
        <is>
          <t>Year</t>
        </is>
      </c>
      <c r="B3" s="4" t="inlineStr">
        <is>
          <t>Gross Revenue</t>
        </is>
      </c>
      <c r="C3" s="4" t="inlineStr">
        <is>
          <t>Operating Expenses</t>
        </is>
      </c>
      <c r="D3" s="4" t="inlineStr">
        <is>
          <t>NOI</t>
        </is>
      </c>
      <c r="E3" s="4" t="inlineStr">
        <is>
          <t>Debt Service</t>
        </is>
      </c>
      <c r="F3" s="4" t="inlineStr">
        <is>
          <t>Net Cash Flow</t>
        </is>
      </c>
      <c r="G3" s="4" t="inlineStr">
        <is>
          <t>DSCR</t>
        </is>
      </c>
      <c r="H3" s="4" t="inlineStr">
        <is>
          <t>Cum Cash Flow</t>
        </is>
      </c>
    </row>
    <row r="4">
      <c r="A4" t="n">
        <v>1</v>
      </c>
      <c r="B4" s="5">
        <f>SUM('10-Year Monthly Projections'!H4:H15)</f>
        <v/>
      </c>
      <c r="C4" s="5">
        <f>SUM('10-Year Monthly Projections'!I4:I15)</f>
        <v/>
      </c>
      <c r="D4" s="5">
        <f>B4-C4</f>
        <v/>
      </c>
      <c r="E4" s="5">
        <f>SUM('10-Year Monthly Projections'!K4:K15)</f>
        <v/>
      </c>
      <c r="F4" s="5">
        <f>D4-E4</f>
        <v/>
      </c>
      <c r="G4" s="11">
        <f>IF(E4=0,0,D4/E4)</f>
        <v/>
      </c>
      <c r="H4" s="5">
        <f>F4</f>
        <v/>
      </c>
    </row>
    <row r="5">
      <c r="A5" t="n">
        <v>2</v>
      </c>
      <c r="B5" s="5">
        <f>SUM('10-Year Monthly Projections'!H16:H27)</f>
        <v/>
      </c>
      <c r="C5" s="5">
        <f>SUM('10-Year Monthly Projections'!I16:I27)</f>
        <v/>
      </c>
      <c r="D5" s="5">
        <f>B5-C5</f>
        <v/>
      </c>
      <c r="E5" s="5">
        <f>SUM('10-Year Monthly Projections'!K16:K27)</f>
        <v/>
      </c>
      <c r="F5" s="5">
        <f>D5-E5</f>
        <v/>
      </c>
      <c r="G5" s="11">
        <f>IF(E5=0,0,D5/E5)</f>
        <v/>
      </c>
      <c r="H5" s="5">
        <f>H4+F5</f>
        <v/>
      </c>
    </row>
    <row r="6">
      <c r="A6" t="n">
        <v>3</v>
      </c>
      <c r="B6" s="5">
        <f>SUM('10-Year Monthly Projections'!H28:H39)</f>
        <v/>
      </c>
      <c r="C6" s="5">
        <f>SUM('10-Year Monthly Projections'!I28:I39)</f>
        <v/>
      </c>
      <c r="D6" s="5">
        <f>B6-C6</f>
        <v/>
      </c>
      <c r="E6" s="5">
        <f>SUM('10-Year Monthly Projections'!K28:K39)</f>
        <v/>
      </c>
      <c r="F6" s="5">
        <f>D6-E6</f>
        <v/>
      </c>
      <c r="G6" s="11">
        <f>IF(E6=0,0,D6/E6)</f>
        <v/>
      </c>
      <c r="H6" s="5">
        <f>H5+F6</f>
        <v/>
      </c>
    </row>
    <row r="7">
      <c r="A7" t="n">
        <v>4</v>
      </c>
      <c r="B7" s="5">
        <f>SUM('10-Year Monthly Projections'!H40:H51)</f>
        <v/>
      </c>
      <c r="C7" s="5">
        <f>SUM('10-Year Monthly Projections'!I40:I51)</f>
        <v/>
      </c>
      <c r="D7" s="5">
        <f>B7-C7</f>
        <v/>
      </c>
      <c r="E7" s="5">
        <f>SUM('10-Year Monthly Projections'!K40:K51)</f>
        <v/>
      </c>
      <c r="F7" s="5">
        <f>D7-E7</f>
        <v/>
      </c>
      <c r="G7" s="11">
        <f>IF(E7=0,0,D7/E7)</f>
        <v/>
      </c>
      <c r="H7" s="5">
        <f>H6+F7</f>
        <v/>
      </c>
    </row>
    <row r="8">
      <c r="A8" t="n">
        <v>5</v>
      </c>
      <c r="B8" s="5">
        <f>SUM('10-Year Monthly Projections'!H52:H63)</f>
        <v/>
      </c>
      <c r="C8" s="5">
        <f>SUM('10-Year Monthly Projections'!I52:I63)</f>
        <v/>
      </c>
      <c r="D8" s="5">
        <f>B8-C8</f>
        <v/>
      </c>
      <c r="E8" s="5">
        <f>SUM('10-Year Monthly Projections'!K52:K63)</f>
        <v/>
      </c>
      <c r="F8" s="5">
        <f>D8-E8</f>
        <v/>
      </c>
      <c r="G8" s="11">
        <f>IF(E8=0,0,D8/E8)</f>
        <v/>
      </c>
      <c r="H8" s="5">
        <f>H7+F8</f>
        <v/>
      </c>
    </row>
    <row r="9">
      <c r="A9" t="n">
        <v>6</v>
      </c>
      <c r="B9" s="5">
        <f>SUM('10-Year Monthly Projections'!H64:H75)</f>
        <v/>
      </c>
      <c r="C9" s="5">
        <f>SUM('10-Year Monthly Projections'!I64:I75)</f>
        <v/>
      </c>
      <c r="D9" s="5">
        <f>B9-C9</f>
        <v/>
      </c>
      <c r="E9" s="5">
        <f>SUM('10-Year Monthly Projections'!K64:K75)</f>
        <v/>
      </c>
      <c r="F9" s="5">
        <f>D9-E9</f>
        <v/>
      </c>
      <c r="G9" s="11">
        <f>IF(E9=0,0,D9/E9)</f>
        <v/>
      </c>
      <c r="H9" s="5">
        <f>H8+F9</f>
        <v/>
      </c>
    </row>
    <row r="10">
      <c r="A10" t="n">
        <v>7</v>
      </c>
      <c r="B10" s="5">
        <f>SUM('10-Year Monthly Projections'!H76:H87)</f>
        <v/>
      </c>
      <c r="C10" s="5">
        <f>SUM('10-Year Monthly Projections'!I76:I87)</f>
        <v/>
      </c>
      <c r="D10" s="5">
        <f>B10-C10</f>
        <v/>
      </c>
      <c r="E10" s="5">
        <f>SUM('10-Year Monthly Projections'!K76:K87)</f>
        <v/>
      </c>
      <c r="F10" s="5">
        <f>D10-E10</f>
        <v/>
      </c>
      <c r="G10" s="11">
        <f>IF(E10=0,0,D10/E10)</f>
        <v/>
      </c>
      <c r="H10" s="5">
        <f>H9+F10</f>
        <v/>
      </c>
    </row>
    <row r="11">
      <c r="A11" t="n">
        <v>8</v>
      </c>
      <c r="B11" s="5">
        <f>SUM('10-Year Monthly Projections'!H88:H99)</f>
        <v/>
      </c>
      <c r="C11" s="5">
        <f>SUM('10-Year Monthly Projections'!I88:I99)</f>
        <v/>
      </c>
      <c r="D11" s="5">
        <f>B11-C11</f>
        <v/>
      </c>
      <c r="E11" s="5">
        <f>SUM('10-Year Monthly Projections'!K88:K99)</f>
        <v/>
      </c>
      <c r="F11" s="5">
        <f>D11-E11</f>
        <v/>
      </c>
      <c r="G11" s="11">
        <f>IF(E11=0,0,D11/E11)</f>
        <v/>
      </c>
      <c r="H11" s="5">
        <f>H10+F11</f>
        <v/>
      </c>
    </row>
    <row r="12">
      <c r="A12" t="n">
        <v>9</v>
      </c>
      <c r="B12" s="5">
        <f>SUM('10-Year Monthly Projections'!H100:H111)</f>
        <v/>
      </c>
      <c r="C12" s="5">
        <f>SUM('10-Year Monthly Projections'!I100:I111)</f>
        <v/>
      </c>
      <c r="D12" s="5">
        <f>B12-C12</f>
        <v/>
      </c>
      <c r="E12" s="5">
        <f>SUM('10-Year Monthly Projections'!K100:K111)</f>
        <v/>
      </c>
      <c r="F12" s="5">
        <f>D12-E12</f>
        <v/>
      </c>
      <c r="G12" s="11">
        <f>IF(E12=0,0,D12/E12)</f>
        <v/>
      </c>
      <c r="H12" s="5">
        <f>H11+F12</f>
        <v/>
      </c>
    </row>
    <row r="13">
      <c r="A13" t="n">
        <v>10</v>
      </c>
      <c r="B13" s="5">
        <f>SUM('10-Year Monthly Projections'!H112:H123)</f>
        <v/>
      </c>
      <c r="C13" s="5">
        <f>SUM('10-Year Monthly Projections'!I112:I123)</f>
        <v/>
      </c>
      <c r="D13" s="5">
        <f>B13-C13</f>
        <v/>
      </c>
      <c r="E13" s="5">
        <f>SUM('10-Year Monthly Projections'!K112:K123)</f>
        <v/>
      </c>
      <c r="F13" s="5">
        <f>D13-E13</f>
        <v/>
      </c>
      <c r="G13" s="11">
        <f>IF(E13=0,0,D13/E13)</f>
        <v/>
      </c>
      <c r="H13" s="5">
        <f>H12+F13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SOURCES &amp; USES OF FUNDS</t>
        </is>
      </c>
    </row>
    <row r="3">
      <c r="A3" s="2" t="inlineStr">
        <is>
          <t>SOURCES</t>
        </is>
      </c>
    </row>
    <row r="4">
      <c r="A4" t="inlineStr">
        <is>
          <t>New Loan Proceeds</t>
        </is>
      </c>
      <c r="B4" s="5" t="n">
        <v>850000</v>
      </c>
    </row>
    <row r="5">
      <c r="A5" s="4" t="inlineStr">
        <is>
          <t>TOTAL SOURCES</t>
        </is>
      </c>
      <c r="B5" s="3">
        <f>B4</f>
        <v/>
      </c>
    </row>
    <row r="7">
      <c r="A7" s="2" t="inlineStr">
        <is>
          <t>USES</t>
        </is>
      </c>
    </row>
    <row r="8">
      <c r="A8" t="inlineStr">
        <is>
          <t>Existing Debt Payoff</t>
        </is>
      </c>
      <c r="B8" s="5" t="n">
        <v>150000</v>
      </c>
    </row>
    <row r="9">
      <c r="A9" t="inlineStr">
        <is>
          <t>Renovation &amp; Amenities</t>
        </is>
      </c>
      <c r="B9" s="5">
        <f>'Renovation Budget Detail'!E156</f>
        <v/>
      </c>
    </row>
    <row r="10">
      <c r="A10" t="inlineStr">
        <is>
          <t>Contingency (10%)</t>
        </is>
      </c>
      <c r="B10" s="5">
        <f>'Renovation Budget Detail'!E157</f>
        <v/>
      </c>
    </row>
    <row r="11">
      <c r="A11" s="4" t="inlineStr">
        <is>
          <t>TOTAL USES</t>
        </is>
      </c>
      <c r="B11" s="3">
        <f>SUM(B8:B10)</f>
        <v/>
      </c>
    </row>
    <row r="12">
      <c r="A12" s="4" t="inlineStr">
        <is>
          <t>TOTAL USES</t>
        </is>
      </c>
      <c r="B12" s="3">
        <f>SUM(B8:B11)</f>
        <v/>
      </c>
    </row>
    <row r="13">
      <c r="A13" t="inlineStr">
        <is>
          <t>Note: 40% renovation grant potential ($240k) available but not assumed in projections</t>
        </is>
      </c>
    </row>
    <row r="14">
      <c r="A14" t="inlineStr">
        <is>
          <t>Note: 40% renovation grant potential ($240k) available but not assumed in projections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4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DEBT SERVICE SCHEDULE (First 10 Years)</t>
        </is>
      </c>
    </row>
    <row r="2">
      <c r="A2" t="inlineStr">
        <is>
          <t>Loan: $850,000 @ 7.5% for 25 years</t>
        </is>
      </c>
    </row>
    <row r="4">
      <c r="A4" s="4" t="inlineStr">
        <is>
          <t>Year</t>
        </is>
      </c>
      <c r="B4" s="4" t="inlineStr">
        <is>
          <t>Month</t>
        </is>
      </c>
      <c r="C4" s="4" t="inlineStr">
        <is>
          <t>Payment</t>
        </is>
      </c>
      <c r="D4" s="4" t="inlineStr">
        <is>
          <t>Interest</t>
        </is>
      </c>
      <c r="E4" s="4" t="inlineStr">
        <is>
          <t>Principal</t>
        </is>
      </c>
      <c r="F4" s="4" t="inlineStr">
        <is>
          <t>Balance</t>
        </is>
      </c>
    </row>
    <row r="5">
      <c r="A5" t="n">
        <v>1</v>
      </c>
      <c r="B5" t="n">
        <v>1</v>
      </c>
      <c r="C5" s="7" t="n">
        <v>6281.43</v>
      </c>
      <c r="D5" s="7" t="n">
        <v>5312.5</v>
      </c>
      <c r="E5" s="7" t="n">
        <v>968.9300000000003</v>
      </c>
      <c r="F5" s="7" t="n">
        <v>849031.0699999999</v>
      </c>
    </row>
    <row r="6">
      <c r="A6" t="n">
        <v>1</v>
      </c>
      <c r="B6" t="n">
        <v>2</v>
      </c>
      <c r="C6" s="7" t="n">
        <v>6281.43</v>
      </c>
      <c r="D6" s="7" t="n">
        <v>5306.444187499999</v>
      </c>
      <c r="E6" s="7" t="n">
        <v>974.985812500001</v>
      </c>
      <c r="F6" s="7" t="n">
        <v>848056.0841874999</v>
      </c>
    </row>
    <row r="7">
      <c r="A7" t="n">
        <v>1</v>
      </c>
      <c r="B7" t="n">
        <v>3</v>
      </c>
      <c r="C7" s="7" t="n">
        <v>6281.43</v>
      </c>
      <c r="D7" s="7" t="n">
        <v>5300.350526171875</v>
      </c>
      <c r="E7" s="7" t="n">
        <v>981.0794738281256</v>
      </c>
      <c r="F7" s="7" t="n">
        <v>847075.0047136719</v>
      </c>
    </row>
    <row r="8">
      <c r="A8" t="n">
        <v>1</v>
      </c>
      <c r="B8" t="n">
        <v>4</v>
      </c>
      <c r="C8" s="7" t="n">
        <v>6281.43</v>
      </c>
      <c r="D8" s="7" t="n">
        <v>5294.218779460449</v>
      </c>
      <c r="E8" s="7" t="n">
        <v>987.2112205395515</v>
      </c>
      <c r="F8" s="7" t="n">
        <v>846087.7934931323</v>
      </c>
    </row>
    <row r="9">
      <c r="A9" t="n">
        <v>1</v>
      </c>
      <c r="B9" t="n">
        <v>5</v>
      </c>
      <c r="C9" s="7" t="n">
        <v>6281.43</v>
      </c>
      <c r="D9" s="7" t="n">
        <v>5288.048709332077</v>
      </c>
      <c r="E9" s="7" t="n">
        <v>993.3812906679232</v>
      </c>
      <c r="F9" s="7" t="n">
        <v>845094.4122024644</v>
      </c>
    </row>
    <row r="10">
      <c r="A10" t="n">
        <v>1</v>
      </c>
      <c r="B10" t="n">
        <v>6</v>
      </c>
      <c r="C10" s="7" t="n">
        <v>6281.43</v>
      </c>
      <c r="D10" s="7" t="n">
        <v>5281.840076265402</v>
      </c>
      <c r="E10" s="7" t="n">
        <v>999.5899237345984</v>
      </c>
      <c r="F10" s="7" t="n">
        <v>844094.8222787299</v>
      </c>
    </row>
    <row r="11">
      <c r="A11" t="n">
        <v>1</v>
      </c>
      <c r="B11" t="n">
        <v>7</v>
      </c>
      <c r="C11" s="7" t="n">
        <v>6281.43</v>
      </c>
      <c r="D11" s="7" t="n">
        <v>5275.592639242062</v>
      </c>
      <c r="E11" s="7" t="n">
        <v>1005.837360757939</v>
      </c>
      <c r="F11" s="7" t="n">
        <v>843088.9849179719</v>
      </c>
    </row>
    <row r="12">
      <c r="A12" t="n">
        <v>1</v>
      </c>
      <c r="B12" t="n">
        <v>8</v>
      </c>
      <c r="C12" s="7" t="n">
        <v>6281.43</v>
      </c>
      <c r="D12" s="7" t="n">
        <v>5269.306155737324</v>
      </c>
      <c r="E12" s="7" t="n">
        <v>1012.123844262676</v>
      </c>
      <c r="F12" s="7" t="n">
        <v>842076.8610737092</v>
      </c>
    </row>
    <row r="13">
      <c r="A13" t="n">
        <v>1</v>
      </c>
      <c r="B13" t="n">
        <v>9</v>
      </c>
      <c r="C13" s="7" t="n">
        <v>6281.43</v>
      </c>
      <c r="D13" s="7" t="n">
        <v>5262.980381710682</v>
      </c>
      <c r="E13" s="7" t="n">
        <v>1018.449618289318</v>
      </c>
      <c r="F13" s="7" t="n">
        <v>841058.4114554198</v>
      </c>
    </row>
    <row r="14">
      <c r="A14" t="n">
        <v>1</v>
      </c>
      <c r="B14" t="n">
        <v>10</v>
      </c>
      <c r="C14" s="7" t="n">
        <v>6281.43</v>
      </c>
      <c r="D14" s="7" t="n">
        <v>5256.615071596374</v>
      </c>
      <c r="E14" s="7" t="n">
        <v>1024.814928403626</v>
      </c>
      <c r="F14" s="7" t="n">
        <v>840033.5965270163</v>
      </c>
    </row>
    <row r="15">
      <c r="A15" t="n">
        <v>1</v>
      </c>
      <c r="B15" t="n">
        <v>11</v>
      </c>
      <c r="C15" s="7" t="n">
        <v>6281.43</v>
      </c>
      <c r="D15" s="7" t="n">
        <v>5250.209978293851</v>
      </c>
      <c r="E15" s="7" t="n">
        <v>1031.220021706149</v>
      </c>
      <c r="F15" s="7" t="n">
        <v>839002.3765053101</v>
      </c>
    </row>
    <row r="16">
      <c r="A16" t="n">
        <v>1</v>
      </c>
      <c r="B16" t="n">
        <v>12</v>
      </c>
      <c r="C16" s="7" t="n">
        <v>6281.43</v>
      </c>
      <c r="D16" s="7" t="n">
        <v>5243.764853158187</v>
      </c>
      <c r="E16" s="7" t="n">
        <v>1037.665146841813</v>
      </c>
      <c r="F16" s="7" t="n">
        <v>837964.7113584683</v>
      </c>
    </row>
    <row r="17">
      <c r="A17" t="n">
        <v>2</v>
      </c>
      <c r="B17" t="n">
        <v>1</v>
      </c>
      <c r="C17" s="7" t="n">
        <v>6281.43</v>
      </c>
      <c r="D17" s="7" t="n">
        <v>5237.279445990426</v>
      </c>
      <c r="E17" s="7" t="n">
        <v>1044.150554009574</v>
      </c>
      <c r="F17" s="7" t="n">
        <v>836920.5608044587</v>
      </c>
    </row>
    <row r="18">
      <c r="A18" t="n">
        <v>2</v>
      </c>
      <c r="B18" t="n">
        <v>2</v>
      </c>
      <c r="C18" s="7" t="n">
        <v>6281.43</v>
      </c>
      <c r="D18" s="7" t="n">
        <v>5230.753505027867</v>
      </c>
      <c r="E18" s="7" t="n">
        <v>1050.676494972134</v>
      </c>
      <c r="F18" s="7" t="n">
        <v>835869.8843094866</v>
      </c>
    </row>
    <row r="19">
      <c r="A19" t="n">
        <v>2</v>
      </c>
      <c r="B19" t="n">
        <v>3</v>
      </c>
      <c r="C19" s="7" t="n">
        <v>6281.43</v>
      </c>
      <c r="D19" s="7" t="n">
        <v>5224.186776934291</v>
      </c>
      <c r="E19" s="7" t="n">
        <v>1057.24322306571</v>
      </c>
      <c r="F19" s="7" t="n">
        <v>834812.6410864209</v>
      </c>
    </row>
    <row r="20">
      <c r="A20" t="n">
        <v>2</v>
      </c>
      <c r="B20" t="n">
        <v>4</v>
      </c>
      <c r="C20" s="7" t="n">
        <v>6281.43</v>
      </c>
      <c r="D20" s="7" t="n">
        <v>5217.57900679013</v>
      </c>
      <c r="E20" s="7" t="n">
        <v>1063.85099320987</v>
      </c>
      <c r="F20" s="7" t="n">
        <v>833748.790093211</v>
      </c>
    </row>
    <row r="21">
      <c r="A21" t="n">
        <v>2</v>
      </c>
      <c r="B21" t="n">
        <v>5</v>
      </c>
      <c r="C21" s="7" t="n">
        <v>6281.43</v>
      </c>
      <c r="D21" s="7" t="n">
        <v>5210.929938082569</v>
      </c>
      <c r="E21" s="7" t="n">
        <v>1070.500061917432</v>
      </c>
      <c r="F21" s="7" t="n">
        <v>832678.2900312935</v>
      </c>
    </row>
    <row r="22">
      <c r="A22" t="n">
        <v>2</v>
      </c>
      <c r="B22" t="n">
        <v>6</v>
      </c>
      <c r="C22" s="7" t="n">
        <v>6281.43</v>
      </c>
      <c r="D22" s="7" t="n">
        <v>5204.239312695584</v>
      </c>
      <c r="E22" s="7" t="n">
        <v>1077.190687304416</v>
      </c>
      <c r="F22" s="7" t="n">
        <v>831601.0993439892</v>
      </c>
    </row>
    <row r="23">
      <c r="A23" t="n">
        <v>2</v>
      </c>
      <c r="B23" t="n">
        <v>7</v>
      </c>
      <c r="C23" s="7" t="n">
        <v>6281.43</v>
      </c>
      <c r="D23" s="7" t="n">
        <v>5197.506870899932</v>
      </c>
      <c r="E23" s="7" t="n">
        <v>1083.923129100069</v>
      </c>
      <c r="F23" s="7" t="n">
        <v>830517.176214889</v>
      </c>
    </row>
    <row r="24">
      <c r="A24" t="n">
        <v>2</v>
      </c>
      <c r="B24" t="n">
        <v>8</v>
      </c>
      <c r="C24" s="7" t="n">
        <v>6281.43</v>
      </c>
      <c r="D24" s="7" t="n">
        <v>5190.732351343057</v>
      </c>
      <c r="E24" s="7" t="n">
        <v>1090.697648656944</v>
      </c>
      <c r="F24" s="7" t="n">
        <v>829426.4785662321</v>
      </c>
    </row>
    <row r="25">
      <c r="A25" t="n">
        <v>2</v>
      </c>
      <c r="B25" t="n">
        <v>9</v>
      </c>
      <c r="C25" s="7" t="n">
        <v>6281.43</v>
      </c>
      <c r="D25" s="7" t="n">
        <v>5183.915491038951</v>
      </c>
      <c r="E25" s="7" t="n">
        <v>1097.51450896105</v>
      </c>
      <c r="F25" s="7" t="n">
        <v>828328.9640572711</v>
      </c>
    </row>
    <row r="26">
      <c r="A26" t="n">
        <v>2</v>
      </c>
      <c r="B26" t="n">
        <v>10</v>
      </c>
      <c r="C26" s="7" t="n">
        <v>6281.43</v>
      </c>
      <c r="D26" s="7" t="n">
        <v>5177.056025357944</v>
      </c>
      <c r="E26" s="7" t="n">
        <v>1104.373974642056</v>
      </c>
      <c r="F26" s="7" t="n">
        <v>827224.5900826291</v>
      </c>
    </row>
    <row r="27">
      <c r="A27" t="n">
        <v>2</v>
      </c>
      <c r="B27" t="n">
        <v>11</v>
      </c>
      <c r="C27" s="7" t="n">
        <v>6281.43</v>
      </c>
      <c r="D27" s="7" t="n">
        <v>5170.153688016431</v>
      </c>
      <c r="E27" s="7" t="n">
        <v>1111.276311983569</v>
      </c>
      <c r="F27" s="7" t="n">
        <v>826113.3137706455</v>
      </c>
    </row>
    <row r="28">
      <c r="A28" t="n">
        <v>2</v>
      </c>
      <c r="B28" t="n">
        <v>12</v>
      </c>
      <c r="C28" s="7" t="n">
        <v>6281.43</v>
      </c>
      <c r="D28" s="7" t="n">
        <v>5163.208211066534</v>
      </c>
      <c r="E28" s="7" t="n">
        <v>1118.221788933466</v>
      </c>
      <c r="F28" s="7" t="n">
        <v>824995.091981712</v>
      </c>
    </row>
    <row r="29">
      <c r="A29" t="n">
        <v>3</v>
      </c>
      <c r="B29" t="n">
        <v>1</v>
      </c>
      <c r="C29" s="7" t="n">
        <v>6281.43</v>
      </c>
      <c r="D29" s="7" t="n">
        <v>5156.2193248857</v>
      </c>
      <c r="E29" s="7" t="n">
        <v>1125.2106751143</v>
      </c>
      <c r="F29" s="7" t="n">
        <v>823869.8813065977</v>
      </c>
    </row>
    <row r="30">
      <c r="A30" t="n">
        <v>3</v>
      </c>
      <c r="B30" t="n">
        <v>2</v>
      </c>
      <c r="C30" s="7" t="n">
        <v>6281.43</v>
      </c>
      <c r="D30" s="7" t="n">
        <v>5149.186758166235</v>
      </c>
      <c r="E30" s="7" t="n">
        <v>1132.243241833765</v>
      </c>
      <c r="F30" s="7" t="n">
        <v>822737.638064764</v>
      </c>
    </row>
    <row r="31">
      <c r="A31" t="n">
        <v>3</v>
      </c>
      <c r="B31" t="n">
        <v>3</v>
      </c>
      <c r="C31" s="7" t="n">
        <v>6281.43</v>
      </c>
      <c r="D31" s="7" t="n">
        <v>5142.110237904774</v>
      </c>
      <c r="E31" s="7" t="n">
        <v>1139.319762095226</v>
      </c>
      <c r="F31" s="7" t="n">
        <v>821598.3183026687</v>
      </c>
    </row>
    <row r="32">
      <c r="A32" t="n">
        <v>3</v>
      </c>
      <c r="B32" t="n">
        <v>4</v>
      </c>
      <c r="C32" s="7" t="n">
        <v>6281.43</v>
      </c>
      <c r="D32" s="7" t="n">
        <v>5134.989489391679</v>
      </c>
      <c r="E32" s="7" t="n">
        <v>1146.440510608321</v>
      </c>
      <c r="F32" s="7" t="n">
        <v>820451.8777920604</v>
      </c>
    </row>
    <row r="33">
      <c r="A33" t="n">
        <v>3</v>
      </c>
      <c r="B33" t="n">
        <v>5</v>
      </c>
      <c r="C33" s="7" t="n">
        <v>6281.43</v>
      </c>
      <c r="D33" s="7" t="n">
        <v>5127.824236200377</v>
      </c>
      <c r="E33" s="7" t="n">
        <v>1153.605763799624</v>
      </c>
      <c r="F33" s="7" t="n">
        <v>819298.2720282607</v>
      </c>
    </row>
    <row r="34">
      <c r="A34" t="n">
        <v>3</v>
      </c>
      <c r="B34" t="n">
        <v>6</v>
      </c>
      <c r="C34" s="7" t="n">
        <v>6281.43</v>
      </c>
      <c r="D34" s="7" t="n">
        <v>5120.614200176629</v>
      </c>
      <c r="E34" s="7" t="n">
        <v>1160.815799823371</v>
      </c>
      <c r="F34" s="7" t="n">
        <v>818137.4562284374</v>
      </c>
    </row>
    <row r="35">
      <c r="A35" t="n">
        <v>3</v>
      </c>
      <c r="B35" t="n">
        <v>7</v>
      </c>
      <c r="C35" s="7" t="n">
        <v>6281.43</v>
      </c>
      <c r="D35" s="7" t="n">
        <v>5113.359101427734</v>
      </c>
      <c r="E35" s="7" t="n">
        <v>1168.070898572267</v>
      </c>
      <c r="F35" s="7" t="n">
        <v>816969.3853298652</v>
      </c>
    </row>
    <row r="36">
      <c r="A36" t="n">
        <v>3</v>
      </c>
      <c r="B36" t="n">
        <v>8</v>
      </c>
      <c r="C36" s="7" t="n">
        <v>6281.43</v>
      </c>
      <c r="D36" s="7" t="n">
        <v>5106.058658311656</v>
      </c>
      <c r="E36" s="7" t="n">
        <v>1175.371341688344</v>
      </c>
      <c r="F36" s="7" t="n">
        <v>815794.0139881768</v>
      </c>
    </row>
    <row r="37">
      <c r="A37" t="n">
        <v>3</v>
      </c>
      <c r="B37" t="n">
        <v>9</v>
      </c>
      <c r="C37" s="7" t="n">
        <v>6281.43</v>
      </c>
      <c r="D37" s="7" t="n">
        <v>5098.712587426105</v>
      </c>
      <c r="E37" s="7" t="n">
        <v>1182.717412573896</v>
      </c>
      <c r="F37" s="7" t="n">
        <v>814611.296575603</v>
      </c>
    </row>
    <row r="38">
      <c r="A38" t="n">
        <v>3</v>
      </c>
      <c r="B38" t="n">
        <v>10</v>
      </c>
      <c r="C38" s="7" t="n">
        <v>6281.43</v>
      </c>
      <c r="D38" s="7" t="n">
        <v>5091.320603597518</v>
      </c>
      <c r="E38" s="7" t="n">
        <v>1190.109396402482</v>
      </c>
      <c r="F38" s="7" t="n">
        <v>813421.1871792005</v>
      </c>
    </row>
    <row r="39">
      <c r="A39" t="n">
        <v>3</v>
      </c>
      <c r="B39" t="n">
        <v>11</v>
      </c>
      <c r="C39" s="7" t="n">
        <v>6281.43</v>
      </c>
      <c r="D39" s="7" t="n">
        <v>5083.882419870002</v>
      </c>
      <c r="E39" s="7" t="n">
        <v>1197.547580129998</v>
      </c>
      <c r="F39" s="7" t="n">
        <v>812223.6395990704</v>
      </c>
    </row>
    <row r="40">
      <c r="A40" t="n">
        <v>3</v>
      </c>
      <c r="B40" t="n">
        <v>12</v>
      </c>
      <c r="C40" s="7" t="n">
        <v>6281.43</v>
      </c>
      <c r="D40" s="7" t="n">
        <v>5076.397747494189</v>
      </c>
      <c r="E40" s="7" t="n">
        <v>1205.032252505811</v>
      </c>
      <c r="F40" s="7" t="n">
        <v>811018.6073465646</v>
      </c>
    </row>
    <row r="41">
      <c r="A41" t="n">
        <v>4</v>
      </c>
      <c r="B41" t="n">
        <v>1</v>
      </c>
      <c r="C41" s="7" t="n">
        <v>6281.43</v>
      </c>
      <c r="D41" s="7" t="n">
        <v>5068.866295916028</v>
      </c>
      <c r="E41" s="7" t="n">
        <v>1212.563704083972</v>
      </c>
      <c r="F41" s="7" t="n">
        <v>809806.0436424806</v>
      </c>
    </row>
    <row r="42">
      <c r="A42" t="n">
        <v>4</v>
      </c>
      <c r="B42" t="n">
        <v>2</v>
      </c>
      <c r="C42" s="7" t="n">
        <v>6281.43</v>
      </c>
      <c r="D42" s="7" t="n">
        <v>5061.287772765503</v>
      </c>
      <c r="E42" s="7" t="n">
        <v>1220.142227234497</v>
      </c>
      <c r="F42" s="7" t="n">
        <v>808585.9014152461</v>
      </c>
    </row>
    <row r="43">
      <c r="A43" t="n">
        <v>4</v>
      </c>
      <c r="B43" t="n">
        <v>3</v>
      </c>
      <c r="C43" s="7" t="n">
        <v>6281.43</v>
      </c>
      <c r="D43" s="7" t="n">
        <v>5053.661883845288</v>
      </c>
      <c r="E43" s="7" t="n">
        <v>1227.768116154713</v>
      </c>
      <c r="F43" s="7" t="n">
        <v>807358.1332990914</v>
      </c>
    </row>
    <row r="44">
      <c r="A44" t="n">
        <v>4</v>
      </c>
      <c r="B44" t="n">
        <v>4</v>
      </c>
      <c r="C44" s="7" t="n">
        <v>6281.43</v>
      </c>
      <c r="D44" s="7" t="n">
        <v>5045.98833311932</v>
      </c>
      <c r="E44" s="7" t="n">
        <v>1235.44166688068</v>
      </c>
      <c r="F44" s="7" t="n">
        <v>806122.6916322107</v>
      </c>
    </row>
    <row r="45">
      <c r="A45" t="n">
        <v>4</v>
      </c>
      <c r="B45" t="n">
        <v>5</v>
      </c>
      <c r="C45" s="7" t="n">
        <v>6281.43</v>
      </c>
      <c r="D45" s="7" t="n">
        <v>5038.266822701316</v>
      </c>
      <c r="E45" s="7" t="n">
        <v>1243.163177298684</v>
      </c>
      <c r="F45" s="7" t="n">
        <v>804879.528454912</v>
      </c>
    </row>
    <row r="46">
      <c r="A46" t="n">
        <v>4</v>
      </c>
      <c r="B46" t="n">
        <v>6</v>
      </c>
      <c r="C46" s="7" t="n">
        <v>6281.43</v>
      </c>
      <c r="D46" s="7" t="n">
        <v>5030.4970528432</v>
      </c>
      <c r="E46" s="7" t="n">
        <v>1250.932947156801</v>
      </c>
      <c r="F46" s="7" t="n">
        <v>803628.5955077552</v>
      </c>
    </row>
    <row r="47">
      <c r="A47" t="n">
        <v>4</v>
      </c>
      <c r="B47" t="n">
        <v>7</v>
      </c>
      <c r="C47" s="7" t="n">
        <v>6281.43</v>
      </c>
      <c r="D47" s="7" t="n">
        <v>5022.678721923469</v>
      </c>
      <c r="E47" s="7" t="n">
        <v>1258.751278076531</v>
      </c>
      <c r="F47" s="7" t="n">
        <v>802369.8442296786</v>
      </c>
    </row>
    <row r="48">
      <c r="A48" t="n">
        <v>4</v>
      </c>
      <c r="B48" t="n">
        <v>8</v>
      </c>
      <c r="C48" s="7" t="n">
        <v>6281.43</v>
      </c>
      <c r="D48" s="7" t="n">
        <v>5014.811526435491</v>
      </c>
      <c r="E48" s="7" t="n">
        <v>1266.618473564509</v>
      </c>
      <c r="F48" s="7" t="n">
        <v>801103.2257561141</v>
      </c>
    </row>
    <row r="49">
      <c r="A49" t="n">
        <v>4</v>
      </c>
      <c r="B49" t="n">
        <v>9</v>
      </c>
      <c r="C49" s="7" t="n">
        <v>6281.43</v>
      </c>
      <c r="D49" s="7" t="n">
        <v>5006.895160975713</v>
      </c>
      <c r="E49" s="7" t="n">
        <v>1274.534839024287</v>
      </c>
      <c r="F49" s="7" t="n">
        <v>799828.6909170898</v>
      </c>
    </row>
    <row r="50">
      <c r="A50" t="n">
        <v>4</v>
      </c>
      <c r="B50" t="n">
        <v>10</v>
      </c>
      <c r="C50" s="7" t="n">
        <v>6281.43</v>
      </c>
      <c r="D50" s="7" t="n">
        <v>4998.929318231811</v>
      </c>
      <c r="E50" s="7" t="n">
        <v>1282.50068176819</v>
      </c>
      <c r="F50" s="7" t="n">
        <v>798546.1902353216</v>
      </c>
    </row>
    <row r="51">
      <c r="A51" t="n">
        <v>4</v>
      </c>
      <c r="B51" t="n">
        <v>11</v>
      </c>
      <c r="C51" s="7" t="n">
        <v>6281.43</v>
      </c>
      <c r="D51" s="7" t="n">
        <v>4990.91368897076</v>
      </c>
      <c r="E51" s="7" t="n">
        <v>1290.516311029241</v>
      </c>
      <c r="F51" s="7" t="n">
        <v>797255.6739242924</v>
      </c>
    </row>
    <row r="52">
      <c r="A52" t="n">
        <v>4</v>
      </c>
      <c r="B52" t="n">
        <v>12</v>
      </c>
      <c r="C52" s="7" t="n">
        <v>6281.43</v>
      </c>
      <c r="D52" s="7" t="n">
        <v>4982.847962026827</v>
      </c>
      <c r="E52" s="7" t="n">
        <v>1298.582037973173</v>
      </c>
      <c r="F52" s="7" t="n">
        <v>795957.0918863192</v>
      </c>
    </row>
    <row r="53">
      <c r="A53" t="n">
        <v>5</v>
      </c>
      <c r="B53" t="n">
        <v>1</v>
      </c>
      <c r="C53" s="7" t="n">
        <v>6281.43</v>
      </c>
      <c r="D53" s="7" t="n">
        <v>4974.731824289494</v>
      </c>
      <c r="E53" s="7" t="n">
        <v>1306.698175710506</v>
      </c>
      <c r="F53" s="7" t="n">
        <v>794650.3937106087</v>
      </c>
    </row>
    <row r="54">
      <c r="A54" t="n">
        <v>5</v>
      </c>
      <c r="B54" t="n">
        <v>2</v>
      </c>
      <c r="C54" s="7" t="n">
        <v>6281.43</v>
      </c>
      <c r="D54" s="7" t="n">
        <v>4966.564960691304</v>
      </c>
      <c r="E54" s="7" t="n">
        <v>1314.865039308696</v>
      </c>
      <c r="F54" s="7" t="n">
        <v>793335.5286713</v>
      </c>
    </row>
    <row r="55">
      <c r="A55" t="n">
        <v>5</v>
      </c>
      <c r="B55" t="n">
        <v>3</v>
      </c>
      <c r="C55" s="7" t="n">
        <v>6281.43</v>
      </c>
      <c r="D55" s="7" t="n">
        <v>4958.347054195625</v>
      </c>
      <c r="E55" s="7" t="n">
        <v>1323.082945804375</v>
      </c>
      <c r="F55" s="7" t="n">
        <v>792012.4457254957</v>
      </c>
    </row>
    <row r="56">
      <c r="A56" t="n">
        <v>5</v>
      </c>
      <c r="B56" t="n">
        <v>4</v>
      </c>
      <c r="C56" s="7" t="n">
        <v>6281.43</v>
      </c>
      <c r="D56" s="7" t="n">
        <v>4950.077785784348</v>
      </c>
      <c r="E56" s="7" t="n">
        <v>1331.352214215653</v>
      </c>
      <c r="F56" s="7" t="n">
        <v>790681.09351128</v>
      </c>
    </row>
    <row r="57">
      <c r="A57" t="n">
        <v>5</v>
      </c>
      <c r="B57" t="n">
        <v>5</v>
      </c>
      <c r="C57" s="7" t="n">
        <v>6281.43</v>
      </c>
      <c r="D57" s="7" t="n">
        <v>4941.756834445499</v>
      </c>
      <c r="E57" s="7" t="n">
        <v>1339.673165554501</v>
      </c>
      <c r="F57" s="7" t="n">
        <v>789341.4203457255</v>
      </c>
    </row>
    <row r="58">
      <c r="A58" t="n">
        <v>5</v>
      </c>
      <c r="B58" t="n">
        <v>6</v>
      </c>
      <c r="C58" s="7" t="n">
        <v>6281.43</v>
      </c>
      <c r="D58" s="7" t="n">
        <v>4933.383877160784</v>
      </c>
      <c r="E58" s="7" t="n">
        <v>1348.046122839216</v>
      </c>
      <c r="F58" s="7" t="n">
        <v>787993.3742228863</v>
      </c>
    </row>
    <row r="59">
      <c r="A59" t="n">
        <v>5</v>
      </c>
      <c r="B59" t="n">
        <v>7</v>
      </c>
      <c r="C59" s="7" t="n">
        <v>6281.43</v>
      </c>
      <c r="D59" s="7" t="n">
        <v>4924.958588893039</v>
      </c>
      <c r="E59" s="7" t="n">
        <v>1356.471411106962</v>
      </c>
      <c r="F59" s="7" t="n">
        <v>786636.9028117793</v>
      </c>
    </row>
    <row r="60">
      <c r="A60" t="n">
        <v>5</v>
      </c>
      <c r="B60" t="n">
        <v>8</v>
      </c>
      <c r="C60" s="7" t="n">
        <v>6281.43</v>
      </c>
      <c r="D60" s="7" t="n">
        <v>4916.480642573621</v>
      </c>
      <c r="E60" s="7" t="n">
        <v>1364.94935742638</v>
      </c>
      <c r="F60" s="7" t="n">
        <v>785271.9534543529</v>
      </c>
    </row>
    <row r="61">
      <c r="A61" t="n">
        <v>5</v>
      </c>
      <c r="B61" t="n">
        <v>9</v>
      </c>
      <c r="C61" s="7" t="n">
        <v>6281.43</v>
      </c>
      <c r="D61" s="7" t="n">
        <v>4907.949709089706</v>
      </c>
      <c r="E61" s="7" t="n">
        <v>1373.480290910295</v>
      </c>
      <c r="F61" s="7" t="n">
        <v>783898.4731634426</v>
      </c>
    </row>
    <row r="62">
      <c r="A62" t="n">
        <v>5</v>
      </c>
      <c r="B62" t="n">
        <v>10</v>
      </c>
      <c r="C62" s="7" t="n">
        <v>6281.43</v>
      </c>
      <c r="D62" s="7" t="n">
        <v>4899.365457271516</v>
      </c>
      <c r="E62" s="7" t="n">
        <v>1382.064542728484</v>
      </c>
      <c r="F62" s="7" t="n">
        <v>782516.4086207141</v>
      </c>
    </row>
    <row r="63">
      <c r="A63" t="n">
        <v>5</v>
      </c>
      <c r="B63" t="n">
        <v>11</v>
      </c>
      <c r="C63" s="7" t="n">
        <v>6281.43</v>
      </c>
      <c r="D63" s="7" t="n">
        <v>4890.727553879463</v>
      </c>
      <c r="E63" s="7" t="n">
        <v>1390.702446120537</v>
      </c>
      <c r="F63" s="7" t="n">
        <v>781125.7061745935</v>
      </c>
    </row>
    <row r="64">
      <c r="A64" t="n">
        <v>5</v>
      </c>
      <c r="B64" t="n">
        <v>12</v>
      </c>
      <c r="C64" s="7" t="n">
        <v>6281.43</v>
      </c>
      <c r="D64" s="7" t="n">
        <v>4882.035663591209</v>
      </c>
      <c r="E64" s="7" t="n">
        <v>1399.394336408791</v>
      </c>
      <c r="F64" s="7" t="n">
        <v>779726.3118381847</v>
      </c>
    </row>
    <row r="65">
      <c r="A65" t="n">
        <v>6</v>
      </c>
      <c r="B65" t="n">
        <v>1</v>
      </c>
      <c r="C65" s="7" t="n">
        <v>6281.43</v>
      </c>
      <c r="D65" s="7" t="n">
        <v>4873.289448988654</v>
      </c>
      <c r="E65" s="7" t="n">
        <v>1408.140551011346</v>
      </c>
      <c r="F65" s="7" t="n">
        <v>778318.1712871734</v>
      </c>
    </row>
    <row r="66">
      <c r="A66" t="n">
        <v>6</v>
      </c>
      <c r="B66" t="n">
        <v>2</v>
      </c>
      <c r="C66" s="7" t="n">
        <v>6281.43</v>
      </c>
      <c r="D66" s="7" t="n">
        <v>4864.488570544833</v>
      </c>
      <c r="E66" s="7" t="n">
        <v>1416.941429455167</v>
      </c>
      <c r="F66" s="7" t="n">
        <v>776901.2298577182</v>
      </c>
    </row>
    <row r="67">
      <c r="A67" t="n">
        <v>6</v>
      </c>
      <c r="B67" t="n">
        <v>3</v>
      </c>
      <c r="C67" s="7" t="n">
        <v>6281.43</v>
      </c>
      <c r="D67" s="7" t="n">
        <v>4855.632686610738</v>
      </c>
      <c r="E67" s="7" t="n">
        <v>1425.797313389262</v>
      </c>
      <c r="F67" s="7" t="n">
        <v>775475.432544329</v>
      </c>
    </row>
    <row r="68">
      <c r="A68" t="n">
        <v>6</v>
      </c>
      <c r="B68" t="n">
        <v>4</v>
      </c>
      <c r="C68" s="7" t="n">
        <v>6281.43</v>
      </c>
      <c r="D68" s="7" t="n">
        <v>4846.721453402056</v>
      </c>
      <c r="E68" s="7" t="n">
        <v>1434.708546597944</v>
      </c>
      <c r="F68" s="7" t="n">
        <v>774040.723997731</v>
      </c>
    </row>
    <row r="69">
      <c r="A69" t="n">
        <v>6</v>
      </c>
      <c r="B69" t="n">
        <v>5</v>
      </c>
      <c r="C69" s="7" t="n">
        <v>6281.43</v>
      </c>
      <c r="D69" s="7" t="n">
        <v>4837.754524985819</v>
      </c>
      <c r="E69" s="7" t="n">
        <v>1443.675475014182</v>
      </c>
      <c r="F69" s="7" t="n">
        <v>772597.0485227169</v>
      </c>
    </row>
    <row r="70">
      <c r="A70" t="n">
        <v>6</v>
      </c>
      <c r="B70" t="n">
        <v>6</v>
      </c>
      <c r="C70" s="7" t="n">
        <v>6281.43</v>
      </c>
      <c r="D70" s="7" t="n">
        <v>4828.73155326698</v>
      </c>
      <c r="E70" s="7" t="n">
        <v>1452.69844673302</v>
      </c>
      <c r="F70" s="7" t="n">
        <v>771144.3500759838</v>
      </c>
    </row>
    <row r="71">
      <c r="A71" t="n">
        <v>6</v>
      </c>
      <c r="B71" t="n">
        <v>7</v>
      </c>
      <c r="C71" s="7" t="n">
        <v>6281.43</v>
      </c>
      <c r="D71" s="7" t="n">
        <v>4819.652187974898</v>
      </c>
      <c r="E71" s="7" t="n">
        <v>1461.777812025102</v>
      </c>
      <c r="F71" s="7" t="n">
        <v>769682.5722639586</v>
      </c>
    </row>
    <row r="72">
      <c r="A72" t="n">
        <v>6</v>
      </c>
      <c r="B72" t="n">
        <v>8</v>
      </c>
      <c r="C72" s="7" t="n">
        <v>6281.43</v>
      </c>
      <c r="D72" s="7" t="n">
        <v>4810.516076649741</v>
      </c>
      <c r="E72" s="7" t="n">
        <v>1470.913923350259</v>
      </c>
      <c r="F72" s="7" t="n">
        <v>768211.6583406084</v>
      </c>
    </row>
    <row r="73">
      <c r="A73" t="n">
        <v>6</v>
      </c>
      <c r="B73" t="n">
        <v>9</v>
      </c>
      <c r="C73" s="7" t="n">
        <v>6281.43</v>
      </c>
      <c r="D73" s="7" t="n">
        <v>4801.322864628802</v>
      </c>
      <c r="E73" s="7" t="n">
        <v>1480.107135371199</v>
      </c>
      <c r="F73" s="7" t="n">
        <v>766731.5512052372</v>
      </c>
    </row>
    <row r="74">
      <c r="A74" t="n">
        <v>6</v>
      </c>
      <c r="B74" t="n">
        <v>10</v>
      </c>
      <c r="C74" s="7" t="n">
        <v>6281.43</v>
      </c>
      <c r="D74" s="7" t="n">
        <v>4792.072195032732</v>
      </c>
      <c r="E74" s="7" t="n">
        <v>1489.357804967269</v>
      </c>
      <c r="F74" s="7" t="n">
        <v>765242.1934002698</v>
      </c>
    </row>
    <row r="75">
      <c r="A75" t="n">
        <v>6</v>
      </c>
      <c r="B75" t="n">
        <v>11</v>
      </c>
      <c r="C75" s="7" t="n">
        <v>6281.43</v>
      </c>
      <c r="D75" s="7" t="n">
        <v>4782.763708751686</v>
      </c>
      <c r="E75" s="7" t="n">
        <v>1498.666291248314</v>
      </c>
      <c r="F75" s="7" t="n">
        <v>763743.5271090216</v>
      </c>
    </row>
    <row r="76">
      <c r="A76" t="n">
        <v>6</v>
      </c>
      <c r="B76" t="n">
        <v>12</v>
      </c>
      <c r="C76" s="7" t="n">
        <v>6281.43</v>
      </c>
      <c r="D76" s="7" t="n">
        <v>4773.397044431385</v>
      </c>
      <c r="E76" s="7" t="n">
        <v>1508.032955568616</v>
      </c>
      <c r="F76" s="7" t="n">
        <v>762235.4941534529</v>
      </c>
    </row>
    <row r="77">
      <c r="A77" t="n">
        <v>7</v>
      </c>
      <c r="B77" t="n">
        <v>1</v>
      </c>
      <c r="C77" s="7" t="n">
        <v>6281.43</v>
      </c>
      <c r="D77" s="7" t="n">
        <v>4763.971838459081</v>
      </c>
      <c r="E77" s="7" t="n">
        <v>1517.45816154092</v>
      </c>
      <c r="F77" s="7" t="n">
        <v>760718.035991912</v>
      </c>
    </row>
    <row r="78">
      <c r="A78" t="n">
        <v>7</v>
      </c>
      <c r="B78" t="n">
        <v>2</v>
      </c>
      <c r="C78" s="7" t="n">
        <v>6281.43</v>
      </c>
      <c r="D78" s="7" t="n">
        <v>4754.487724949449</v>
      </c>
      <c r="E78" s="7" t="n">
        <v>1526.942275050551</v>
      </c>
      <c r="F78" s="7" t="n">
        <v>759191.0937168614</v>
      </c>
    </row>
    <row r="79">
      <c r="A79" t="n">
        <v>7</v>
      </c>
      <c r="B79" t="n">
        <v>3</v>
      </c>
      <c r="C79" s="7" t="n">
        <v>6281.43</v>
      </c>
      <c r="D79" s="7" t="n">
        <v>4744.944335730384</v>
      </c>
      <c r="E79" s="7" t="n">
        <v>1536.485664269617</v>
      </c>
      <c r="F79" s="7" t="n">
        <v>757654.6080525918</v>
      </c>
    </row>
    <row r="80">
      <c r="A80" t="n">
        <v>7</v>
      </c>
      <c r="B80" t="n">
        <v>4</v>
      </c>
      <c r="C80" s="7" t="n">
        <v>6281.43</v>
      </c>
      <c r="D80" s="7" t="n">
        <v>4735.341300328699</v>
      </c>
      <c r="E80" s="7" t="n">
        <v>1546.088699671302</v>
      </c>
      <c r="F80" s="7" t="n">
        <v>756108.5193529205</v>
      </c>
    </row>
    <row r="81">
      <c r="A81" t="n">
        <v>7</v>
      </c>
      <c r="B81" t="n">
        <v>5</v>
      </c>
      <c r="C81" s="7" t="n">
        <v>6281.43</v>
      </c>
      <c r="D81" s="7" t="n">
        <v>4725.678245955753</v>
      </c>
      <c r="E81" s="7" t="n">
        <v>1555.751754044248</v>
      </c>
      <c r="F81" s="7" t="n">
        <v>754552.7675988763</v>
      </c>
    </row>
    <row r="82">
      <c r="A82" t="n">
        <v>7</v>
      </c>
      <c r="B82" t="n">
        <v>6</v>
      </c>
      <c r="C82" s="7" t="n">
        <v>6281.43</v>
      </c>
      <c r="D82" s="7" t="n">
        <v>4715.954797492976</v>
      </c>
      <c r="E82" s="7" t="n">
        <v>1565.475202507024</v>
      </c>
      <c r="F82" s="7" t="n">
        <v>752987.2923963693</v>
      </c>
    </row>
    <row r="83">
      <c r="A83" t="n">
        <v>7</v>
      </c>
      <c r="B83" t="n">
        <v>7</v>
      </c>
      <c r="C83" s="7" t="n">
        <v>6281.43</v>
      </c>
      <c r="D83" s="7" t="n">
        <v>4706.170577477307</v>
      </c>
      <c r="E83" s="7" t="n">
        <v>1575.259422522693</v>
      </c>
      <c r="F83" s="7" t="n">
        <v>751412.0329738465</v>
      </c>
    </row>
    <row r="84">
      <c r="A84" t="n">
        <v>7</v>
      </c>
      <c r="B84" t="n">
        <v>8</v>
      </c>
      <c r="C84" s="7" t="n">
        <v>6281.43</v>
      </c>
      <c r="D84" s="7" t="n">
        <v>4696.325206086541</v>
      </c>
      <c r="E84" s="7" t="n">
        <v>1585.10479391346</v>
      </c>
      <c r="F84" s="7" t="n">
        <v>749826.9281799331</v>
      </c>
    </row>
    <row r="85">
      <c r="A85" t="n">
        <v>7</v>
      </c>
      <c r="B85" t="n">
        <v>9</v>
      </c>
      <c r="C85" s="7" t="n">
        <v>6281.43</v>
      </c>
      <c r="D85" s="7" t="n">
        <v>4686.418301124581</v>
      </c>
      <c r="E85" s="7" t="n">
        <v>1595.011698875419</v>
      </c>
      <c r="F85" s="7" t="n">
        <v>748231.9164810576</v>
      </c>
    </row>
    <row r="86">
      <c r="A86" t="n">
        <v>7</v>
      </c>
      <c r="B86" t="n">
        <v>10</v>
      </c>
      <c r="C86" s="7" t="n">
        <v>6281.43</v>
      </c>
      <c r="D86" s="7" t="n">
        <v>4676.44947800661</v>
      </c>
      <c r="E86" s="7" t="n">
        <v>1604.980521993391</v>
      </c>
      <c r="F86" s="7" t="n">
        <v>746626.9359590643</v>
      </c>
    </row>
    <row r="87">
      <c r="A87" t="n">
        <v>7</v>
      </c>
      <c r="B87" t="n">
        <v>11</v>
      </c>
      <c r="C87" s="7" t="n">
        <v>6281.43</v>
      </c>
      <c r="D87" s="7" t="n">
        <v>4666.418349744152</v>
      </c>
      <c r="E87" s="7" t="n">
        <v>1615.011650255849</v>
      </c>
      <c r="F87" s="7" t="n">
        <v>745011.9243088084</v>
      </c>
    </row>
    <row r="88">
      <c r="A88" t="n">
        <v>7</v>
      </c>
      <c r="B88" t="n">
        <v>12</v>
      </c>
      <c r="C88" s="7" t="n">
        <v>6281.43</v>
      </c>
      <c r="D88" s="7" t="n">
        <v>4656.324526930052</v>
      </c>
      <c r="E88" s="7" t="n">
        <v>1625.105473069948</v>
      </c>
      <c r="F88" s="7" t="n">
        <v>743386.8188357385</v>
      </c>
    </row>
    <row r="89">
      <c r="A89" t="n">
        <v>8</v>
      </c>
      <c r="B89" t="n">
        <v>1</v>
      </c>
      <c r="C89" s="7" t="n">
        <v>6281.43</v>
      </c>
      <c r="D89" s="7" t="n">
        <v>4646.167617723365</v>
      </c>
      <c r="E89" s="7" t="n">
        <v>1635.262382276635</v>
      </c>
      <c r="F89" s="7" t="n">
        <v>741751.5564534619</v>
      </c>
    </row>
    <row r="90">
      <c r="A90" t="n">
        <v>8</v>
      </c>
      <c r="B90" t="n">
        <v>2</v>
      </c>
      <c r="C90" s="7" t="n">
        <v>6281.43</v>
      </c>
      <c r="D90" s="7" t="n">
        <v>4635.947227834136</v>
      </c>
      <c r="E90" s="7" t="n">
        <v>1645.482772165864</v>
      </c>
      <c r="F90" s="7" t="n">
        <v>740106.073681296</v>
      </c>
    </row>
    <row r="91">
      <c r="A91" t="n">
        <v>8</v>
      </c>
      <c r="B91" t="n">
        <v>3</v>
      </c>
      <c r="C91" s="7" t="n">
        <v>6281.43</v>
      </c>
      <c r="D91" s="7" t="n">
        <v>4625.6629605081</v>
      </c>
      <c r="E91" s="7" t="n">
        <v>1655.767039491901</v>
      </c>
      <c r="F91" s="7" t="n">
        <v>738450.3066418041</v>
      </c>
    </row>
    <row r="92">
      <c r="A92" t="n">
        <v>8</v>
      </c>
      <c r="B92" t="n">
        <v>4</v>
      </c>
      <c r="C92" s="7" t="n">
        <v>6281.43</v>
      </c>
      <c r="D92" s="7" t="n">
        <v>4615.314416511275</v>
      </c>
      <c r="E92" s="7" t="n">
        <v>1666.115583488725</v>
      </c>
      <c r="F92" s="7" t="n">
        <v>736784.1910583153</v>
      </c>
    </row>
    <row r="93">
      <c r="A93" t="n">
        <v>8</v>
      </c>
      <c r="B93" t="n">
        <v>5</v>
      </c>
      <c r="C93" s="7" t="n">
        <v>6281.43</v>
      </c>
      <c r="D93" s="7" t="n">
        <v>4604.901194114471</v>
      </c>
      <c r="E93" s="7" t="n">
        <v>1676.528805885529</v>
      </c>
      <c r="F93" s="7" t="n">
        <v>735107.6622524298</v>
      </c>
    </row>
    <row r="94">
      <c r="A94" t="n">
        <v>8</v>
      </c>
      <c r="B94" t="n">
        <v>6</v>
      </c>
      <c r="C94" s="7" t="n">
        <v>6281.43</v>
      </c>
      <c r="D94" s="7" t="n">
        <v>4594.422889077686</v>
      </c>
      <c r="E94" s="7" t="n">
        <v>1687.007110922314</v>
      </c>
      <c r="F94" s="7" t="n">
        <v>733420.6551415074</v>
      </c>
    </row>
    <row r="95">
      <c r="A95" t="n">
        <v>8</v>
      </c>
      <c r="B95" t="n">
        <v>7</v>
      </c>
      <c r="C95" s="7" t="n">
        <v>6281.43</v>
      </c>
      <c r="D95" s="7" t="n">
        <v>4583.879094634421</v>
      </c>
      <c r="E95" s="7" t="n">
        <v>1697.55090536558</v>
      </c>
      <c r="F95" s="7" t="n">
        <v>731723.1042361418</v>
      </c>
    </row>
    <row r="96">
      <c r="A96" t="n">
        <v>8</v>
      </c>
      <c r="B96" t="n">
        <v>8</v>
      </c>
      <c r="C96" s="7" t="n">
        <v>6281.43</v>
      </c>
      <c r="D96" s="7" t="n">
        <v>4573.269401475885</v>
      </c>
      <c r="E96" s="7" t="n">
        <v>1708.160598524115</v>
      </c>
      <c r="F96" s="7" t="n">
        <v>730014.9436376176</v>
      </c>
    </row>
    <row r="97">
      <c r="A97" t="n">
        <v>8</v>
      </c>
      <c r="B97" t="n">
        <v>9</v>
      </c>
      <c r="C97" s="7" t="n">
        <v>6281.43</v>
      </c>
      <c r="D97" s="7" t="n">
        <v>4562.59339773511</v>
      </c>
      <c r="E97" s="7" t="n">
        <v>1718.836602264891</v>
      </c>
      <c r="F97" s="7" t="n">
        <v>728296.1070353527</v>
      </c>
    </row>
    <row r="98">
      <c r="A98" t="n">
        <v>8</v>
      </c>
      <c r="B98" t="n">
        <v>10</v>
      </c>
      <c r="C98" s="7" t="n">
        <v>6281.43</v>
      </c>
      <c r="D98" s="7" t="n">
        <v>4551.850668970954</v>
      </c>
      <c r="E98" s="7" t="n">
        <v>1729.579331029046</v>
      </c>
      <c r="F98" s="7" t="n">
        <v>726566.5277043236</v>
      </c>
    </row>
    <row r="99">
      <c r="A99" t="n">
        <v>8</v>
      </c>
      <c r="B99" t="n">
        <v>11</v>
      </c>
      <c r="C99" s="7" t="n">
        <v>6281.43</v>
      </c>
      <c r="D99" s="7" t="n">
        <v>4541.040798152022</v>
      </c>
      <c r="E99" s="7" t="n">
        <v>1740.389201847978</v>
      </c>
      <c r="F99" s="7" t="n">
        <v>724826.1385024757</v>
      </c>
    </row>
    <row r="100">
      <c r="A100" t="n">
        <v>8</v>
      </c>
      <c r="B100" t="n">
        <v>12</v>
      </c>
      <c r="C100" s="7" t="n">
        <v>6281.43</v>
      </c>
      <c r="D100" s="7" t="n">
        <v>4530.163365640473</v>
      </c>
      <c r="E100" s="7" t="n">
        <v>1751.266634359527</v>
      </c>
      <c r="F100" s="7" t="n">
        <v>723074.8718681162</v>
      </c>
    </row>
    <row r="101">
      <c r="A101" t="n">
        <v>9</v>
      </c>
      <c r="B101" t="n">
        <v>1</v>
      </c>
      <c r="C101" s="7" t="n">
        <v>6281.43</v>
      </c>
      <c r="D101" s="7" t="n">
        <v>4519.217949175726</v>
      </c>
      <c r="E101" s="7" t="n">
        <v>1762.212050824274</v>
      </c>
      <c r="F101" s="7" t="n">
        <v>721312.6598172919</v>
      </c>
    </row>
    <row r="102">
      <c r="A102" t="n">
        <v>9</v>
      </c>
      <c r="B102" t="n">
        <v>2</v>
      </c>
      <c r="C102" s="7" t="n">
        <v>6281.43</v>
      </c>
      <c r="D102" s="7" t="n">
        <v>4508.204123858074</v>
      </c>
      <c r="E102" s="7" t="n">
        <v>1773.225876141926</v>
      </c>
      <c r="F102" s="7" t="n">
        <v>719539.43394115</v>
      </c>
    </row>
    <row r="103">
      <c r="A103" t="n">
        <v>9</v>
      </c>
      <c r="B103" t="n">
        <v>3</v>
      </c>
      <c r="C103" s="7" t="n">
        <v>6281.43</v>
      </c>
      <c r="D103" s="7" t="n">
        <v>4497.121462132187</v>
      </c>
      <c r="E103" s="7" t="n">
        <v>1784.308537867813</v>
      </c>
      <c r="F103" s="7" t="n">
        <v>717755.1254032821</v>
      </c>
    </row>
    <row r="104">
      <c r="A104" t="n">
        <v>9</v>
      </c>
      <c r="B104" t="n">
        <v>4</v>
      </c>
      <c r="C104" s="7" t="n">
        <v>6281.43</v>
      </c>
      <c r="D104" s="7" t="n">
        <v>4485.969533770512</v>
      </c>
      <c r="E104" s="7" t="n">
        <v>1795.460466229488</v>
      </c>
      <c r="F104" s="7" t="n">
        <v>715959.6649370526</v>
      </c>
    </row>
    <row r="105">
      <c r="A105" t="n">
        <v>9</v>
      </c>
      <c r="B105" t="n">
        <v>5</v>
      </c>
      <c r="C105" s="7" t="n">
        <v>6281.43</v>
      </c>
      <c r="D105" s="7" t="n">
        <v>4474.747905856579</v>
      </c>
      <c r="E105" s="7" t="n">
        <v>1806.682094143422</v>
      </c>
      <c r="F105" s="7" t="n">
        <v>714152.9828429092</v>
      </c>
    </row>
    <row r="106">
      <c r="A106" t="n">
        <v>9</v>
      </c>
      <c r="B106" t="n">
        <v>6</v>
      </c>
      <c r="C106" s="7" t="n">
        <v>6281.43</v>
      </c>
      <c r="D106" s="7" t="n">
        <v>4463.456142768182</v>
      </c>
      <c r="E106" s="7" t="n">
        <v>1817.973857231818</v>
      </c>
      <c r="F106" s="7" t="n">
        <v>712335.0089856774</v>
      </c>
    </row>
    <row r="107">
      <c r="A107" t="n">
        <v>9</v>
      </c>
      <c r="B107" t="n">
        <v>7</v>
      </c>
      <c r="C107" s="7" t="n">
        <v>6281.43</v>
      </c>
      <c r="D107" s="7" t="n">
        <v>4452.093806160483</v>
      </c>
      <c r="E107" s="7" t="n">
        <v>1829.336193839517</v>
      </c>
      <c r="F107" s="7" t="n">
        <v>710505.6727918378</v>
      </c>
    </row>
    <row r="108">
      <c r="A108" t="n">
        <v>9</v>
      </c>
      <c r="B108" t="n">
        <v>8</v>
      </c>
      <c r="C108" s="7" t="n">
        <v>6281.43</v>
      </c>
      <c r="D108" s="7" t="n">
        <v>4440.660454948986</v>
      </c>
      <c r="E108" s="7" t="n">
        <v>1840.769545051015</v>
      </c>
      <c r="F108" s="7" t="n">
        <v>708664.9032467868</v>
      </c>
    </row>
    <row r="109">
      <c r="A109" t="n">
        <v>9</v>
      </c>
      <c r="B109" t="n">
        <v>9</v>
      </c>
      <c r="C109" s="7" t="n">
        <v>6281.43</v>
      </c>
      <c r="D109" s="7" t="n">
        <v>4429.155645292417</v>
      </c>
      <c r="E109" s="7" t="n">
        <v>1852.274354707583</v>
      </c>
      <c r="F109" s="7" t="n">
        <v>706812.6288920792</v>
      </c>
    </row>
    <row r="110">
      <c r="A110" t="n">
        <v>9</v>
      </c>
      <c r="B110" t="n">
        <v>10</v>
      </c>
      <c r="C110" s="7" t="n">
        <v>6281.43</v>
      </c>
      <c r="D110" s="7" t="n">
        <v>4417.578930575495</v>
      </c>
      <c r="E110" s="7" t="n">
        <v>1863.851069424505</v>
      </c>
      <c r="F110" s="7" t="n">
        <v>704948.7778226547</v>
      </c>
    </row>
    <row r="111">
      <c r="A111" t="n">
        <v>9</v>
      </c>
      <c r="B111" t="n">
        <v>11</v>
      </c>
      <c r="C111" s="7" t="n">
        <v>6281.43</v>
      </c>
      <c r="D111" s="7" t="n">
        <v>4405.929861391592</v>
      </c>
      <c r="E111" s="7" t="n">
        <v>1875.500138608409</v>
      </c>
      <c r="F111" s="7" t="n">
        <v>703073.2776840463</v>
      </c>
    </row>
    <row r="112">
      <c r="A112" t="n">
        <v>9</v>
      </c>
      <c r="B112" t="n">
        <v>12</v>
      </c>
      <c r="C112" s="7" t="n">
        <v>6281.43</v>
      </c>
      <c r="D112" s="7" t="n">
        <v>4394.207985525289</v>
      </c>
      <c r="E112" s="7" t="n">
        <v>1887.222014474712</v>
      </c>
      <c r="F112" s="7" t="n">
        <v>701186.0556695716</v>
      </c>
    </row>
    <row r="113">
      <c r="A113" t="n">
        <v>10</v>
      </c>
      <c r="B113" t="n">
        <v>1</v>
      </c>
      <c r="C113" s="7" t="n">
        <v>6281.43</v>
      </c>
      <c r="D113" s="7" t="n">
        <v>4382.412847934822</v>
      </c>
      <c r="E113" s="7" t="n">
        <v>1899.017152065178</v>
      </c>
      <c r="F113" s="7" t="n">
        <v>699287.0385175064</v>
      </c>
    </row>
    <row r="114">
      <c r="A114" t="n">
        <v>10</v>
      </c>
      <c r="B114" t="n">
        <v>2</v>
      </c>
      <c r="C114" s="7" t="n">
        <v>6281.43</v>
      </c>
      <c r="D114" s="7" t="n">
        <v>4370.543990734415</v>
      </c>
      <c r="E114" s="7" t="n">
        <v>1910.886009265585</v>
      </c>
      <c r="F114" s="7" t="n">
        <v>697376.1525082409</v>
      </c>
    </row>
    <row r="115">
      <c r="A115" t="n">
        <v>10</v>
      </c>
      <c r="B115" t="n">
        <v>3</v>
      </c>
      <c r="C115" s="7" t="n">
        <v>6281.43</v>
      </c>
      <c r="D115" s="7" t="n">
        <v>4358.600953176505</v>
      </c>
      <c r="E115" s="7" t="n">
        <v>1922.829046823495</v>
      </c>
      <c r="F115" s="7" t="n">
        <v>695453.3234614173</v>
      </c>
    </row>
    <row r="116">
      <c r="A116" t="n">
        <v>10</v>
      </c>
      <c r="B116" t="n">
        <v>4</v>
      </c>
      <c r="C116" s="7" t="n">
        <v>6281.43</v>
      </c>
      <c r="D116" s="7" t="n">
        <v>4346.583271633858</v>
      </c>
      <c r="E116" s="7" t="n">
        <v>1934.846728366142</v>
      </c>
      <c r="F116" s="7" t="n">
        <v>693518.4767330512</v>
      </c>
    </row>
    <row r="117">
      <c r="A117" t="n">
        <v>10</v>
      </c>
      <c r="B117" t="n">
        <v>5</v>
      </c>
      <c r="C117" s="7" t="n">
        <v>6281.43</v>
      </c>
      <c r="D117" s="7" t="n">
        <v>4334.49047958157</v>
      </c>
      <c r="E117" s="7" t="n">
        <v>1946.93952041843</v>
      </c>
      <c r="F117" s="7" t="n">
        <v>691571.5372126328</v>
      </c>
    </row>
    <row r="118">
      <c r="A118" t="n">
        <v>10</v>
      </c>
      <c r="B118" t="n">
        <v>6</v>
      </c>
      <c r="C118" s="7" t="n">
        <v>6281.43</v>
      </c>
      <c r="D118" s="7" t="n">
        <v>4322.322107578955</v>
      </c>
      <c r="E118" s="7" t="n">
        <v>1959.107892421045</v>
      </c>
      <c r="F118" s="7" t="n">
        <v>689612.4293202118</v>
      </c>
    </row>
    <row r="119">
      <c r="A119" t="n">
        <v>10</v>
      </c>
      <c r="B119" t="n">
        <v>7</v>
      </c>
      <c r="C119" s="7" t="n">
        <v>6281.43</v>
      </c>
      <c r="D119" s="7" t="n">
        <v>4310.077683251323</v>
      </c>
      <c r="E119" s="7" t="n">
        <v>1971.352316748677</v>
      </c>
      <c r="F119" s="7" t="n">
        <v>687641.0770034631</v>
      </c>
    </row>
    <row r="120">
      <c r="A120" t="n">
        <v>10</v>
      </c>
      <c r="B120" t="n">
        <v>8</v>
      </c>
      <c r="C120" s="7" t="n">
        <v>6281.43</v>
      </c>
      <c r="D120" s="7" t="n">
        <v>4297.756731271644</v>
      </c>
      <c r="E120" s="7" t="n">
        <v>1983.673268728357</v>
      </c>
      <c r="F120" s="7" t="n">
        <v>685657.4037347347</v>
      </c>
    </row>
    <row r="121">
      <c r="A121" t="n">
        <v>10</v>
      </c>
      <c r="B121" t="n">
        <v>9</v>
      </c>
      <c r="C121" s="7" t="n">
        <v>6281.43</v>
      </c>
      <c r="D121" s="7" t="n">
        <v>4285.358773342092</v>
      </c>
      <c r="E121" s="7" t="n">
        <v>1996.071226657908</v>
      </c>
      <c r="F121" s="7" t="n">
        <v>683661.3325080768</v>
      </c>
    </row>
    <row r="122">
      <c r="A122" t="n">
        <v>10</v>
      </c>
      <c r="B122" t="n">
        <v>10</v>
      </c>
      <c r="C122" s="7" t="n">
        <v>6281.43</v>
      </c>
      <c r="D122" s="7" t="n">
        <v>4272.88332817548</v>
      </c>
      <c r="E122" s="7" t="n">
        <v>2008.546671824521</v>
      </c>
      <c r="F122" s="7" t="n">
        <v>681652.7858362523</v>
      </c>
    </row>
    <row r="123">
      <c r="A123" t="n">
        <v>10</v>
      </c>
      <c r="B123" t="n">
        <v>11</v>
      </c>
      <c r="C123" s="7" t="n">
        <v>6281.43</v>
      </c>
      <c r="D123" s="7" t="n">
        <v>4260.329911476576</v>
      </c>
      <c r="E123" s="7" t="n">
        <v>2021.100088523424</v>
      </c>
      <c r="F123" s="7" t="n">
        <v>679631.6857477288</v>
      </c>
    </row>
    <row r="124">
      <c r="A124" t="n">
        <v>10</v>
      </c>
      <c r="B124" t="n">
        <v>12</v>
      </c>
      <c r="C124" s="7" t="n">
        <v>6281.43</v>
      </c>
      <c r="D124" s="7" t="n">
        <v>4247.698035923305</v>
      </c>
      <c r="E124" s="7" t="n">
        <v>2033.731964076695</v>
      </c>
      <c r="F124" s="7" t="n">
        <v>677597.953783652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PROPERTY VALUATION ANALYSIS</t>
        </is>
      </c>
    </row>
    <row r="3">
      <c r="A3" s="4" t="inlineStr">
        <is>
          <t>CURRENT VALUE (AS-IS)</t>
        </is>
      </c>
    </row>
    <row r="4">
      <c r="A4" t="inlineStr">
        <is>
          <t>Current NOI:</t>
        </is>
      </c>
      <c r="B4" s="5">
        <f>'Current Operations'!B25</f>
        <v/>
      </c>
    </row>
    <row r="5">
      <c r="A5" t="inlineStr">
        <is>
          <t>Capitalization Rate:</t>
        </is>
      </c>
      <c r="B5" s="10" t="n">
        <v>0.12</v>
      </c>
    </row>
    <row r="6">
      <c r="A6" t="inlineStr">
        <is>
          <t>Current Value:</t>
        </is>
      </c>
      <c r="B6" s="3">
        <f>B4/B5</f>
        <v/>
      </c>
    </row>
    <row r="8">
      <c r="A8" s="4" t="inlineStr">
        <is>
          <t>STABILIZED VALUE (Post-Renovation, Year 3)</t>
        </is>
      </c>
    </row>
    <row r="9">
      <c r="A9" t="inlineStr">
        <is>
          <t>Stabilized NOI:</t>
        </is>
      </c>
      <c r="B9" s="5">
        <f>'Annual Summary'!D6</f>
        <v/>
      </c>
    </row>
    <row r="10">
      <c r="A10" t="inlineStr">
        <is>
          <t>Capitalization Rate:</t>
        </is>
      </c>
      <c r="B10" s="10" t="n">
        <v>0.1</v>
      </c>
    </row>
    <row r="11">
      <c r="A11" t="inlineStr">
        <is>
          <t>Stabilized Value:</t>
        </is>
      </c>
      <c r="B11" s="3">
        <f>B9/B10</f>
        <v/>
      </c>
    </row>
    <row r="13">
      <c r="A13" s="4" t="inlineStr">
        <is>
          <t>LOAN METRICS</t>
        </is>
      </c>
    </row>
    <row r="14">
      <c r="A14" t="inlineStr">
        <is>
          <t>Loan Amount:</t>
        </is>
      </c>
      <c r="B14" s="5" t="n">
        <v>850000</v>
      </c>
    </row>
    <row r="15">
      <c r="A15" t="inlineStr">
        <is>
          <t>Stabilized Value:</t>
        </is>
      </c>
      <c r="B15" s="5">
        <f>B11</f>
        <v/>
      </c>
    </row>
    <row r="16">
      <c r="A16" t="inlineStr">
        <is>
          <t>Loan-to-Value (LTV):</t>
        </is>
      </c>
      <c r="B16" s="10">
        <f>B14/B15</f>
        <v/>
      </c>
    </row>
    <row r="17">
      <c r="A17" t="inlineStr">
        <is>
          <t>Equity Position:</t>
        </is>
      </c>
      <c r="B17" s="5">
        <f>B15-B14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SENSITIVITY ANALYSIS - DSCR SCENARIOS</t>
        </is>
      </c>
    </row>
    <row r="3">
      <c r="A3" s="19" t="inlineStr">
        <is>
          <t>Year 3 Stabilized Performance Under Various Scenarios</t>
        </is>
      </c>
    </row>
    <row r="5">
      <c r="A5" s="4" t="inlineStr">
        <is>
          <t>Scenario</t>
        </is>
      </c>
      <c r="B5" s="4" t="inlineStr">
        <is>
          <t>Occupancy</t>
        </is>
      </c>
      <c r="C5" s="4" t="inlineStr">
        <is>
          <t>Avg Rent</t>
        </is>
      </c>
      <c r="D5" s="4" t="inlineStr">
        <is>
          <t>Annual Revenue</t>
        </is>
      </c>
      <c r="E5" s="4" t="inlineStr">
        <is>
          <t>Annual Op Exp</t>
        </is>
      </c>
      <c r="F5" s="4" t="inlineStr">
        <is>
          <t>NOI</t>
        </is>
      </c>
      <c r="G5" s="4" t="inlineStr">
        <is>
          <t>Annual Debt Svc</t>
        </is>
      </c>
      <c r="H5" s="4" t="inlineStr">
        <is>
          <t>DSCR</t>
        </is>
      </c>
    </row>
    <row r="6">
      <c r="A6" t="inlineStr">
        <is>
          <t>Conservative</t>
        </is>
      </c>
      <c r="B6" s="16" t="n">
        <v>0.7</v>
      </c>
      <c r="C6" s="5" t="n">
        <v>800</v>
      </c>
      <c r="D6" s="5" t="n">
        <v>461130.18</v>
      </c>
      <c r="E6" s="5" t="n">
        <v>276576</v>
      </c>
      <c r="F6" s="5" t="n">
        <v>184554.18</v>
      </c>
      <c r="G6" s="5" t="n">
        <v>75377</v>
      </c>
      <c r="H6" s="11" t="n">
        <v>2.448415033763615</v>
      </c>
    </row>
    <row r="7">
      <c r="A7" s="20" t="inlineStr">
        <is>
          <t>Base Case</t>
        </is>
      </c>
      <c r="B7" s="21" t="n">
        <v>0.8</v>
      </c>
      <c r="C7" s="22" t="n">
        <v>850</v>
      </c>
      <c r="D7" s="22" t="n">
        <v>559165.92</v>
      </c>
      <c r="E7" s="22" t="n">
        <v>276576</v>
      </c>
      <c r="F7" s="22" t="n">
        <v>282589.92</v>
      </c>
      <c r="G7" s="22" t="n">
        <v>75377</v>
      </c>
      <c r="H7" s="23" t="n">
        <v>3.749020523501864</v>
      </c>
    </row>
    <row r="8">
      <c r="A8" t="inlineStr">
        <is>
          <t>Optimistic</t>
        </is>
      </c>
      <c r="B8" s="16" t="n">
        <v>0.9</v>
      </c>
      <c r="C8" s="5" t="n">
        <v>900</v>
      </c>
      <c r="D8" s="5" t="n">
        <v>665241.6600000001</v>
      </c>
      <c r="E8" s="5" t="n">
        <v>276576</v>
      </c>
      <c r="F8" s="5" t="n">
        <v>388665.6600000001</v>
      </c>
      <c r="G8" s="5" t="n">
        <v>75377</v>
      </c>
      <c r="H8" s="11" t="n">
        <v>5.156289849688899</v>
      </c>
    </row>
    <row r="11">
      <c r="A11" s="2" t="inlineStr">
        <is>
          <t>STRESS TEST SCENARIOS</t>
        </is>
      </c>
    </row>
    <row r="12">
      <c r="A12" s="4" t="inlineStr">
        <is>
          <t>Scenario</t>
        </is>
      </c>
      <c r="B12" s="4" t="inlineStr">
        <is>
          <t>Occupancy</t>
        </is>
      </c>
      <c r="C12" s="4" t="inlineStr">
        <is>
          <t>Avg Rent</t>
        </is>
      </c>
      <c r="D12" s="4" t="inlineStr">
        <is>
          <t>DSCR</t>
        </is>
      </c>
      <c r="E12" s="4" t="inlineStr">
        <is>
          <t>Pass/Fail</t>
        </is>
      </c>
    </row>
    <row r="13">
      <c r="A13" t="inlineStr">
        <is>
          <t>Severe Downturn</t>
        </is>
      </c>
      <c r="B13" s="16" t="n">
        <v>0.6</v>
      </c>
      <c r="C13" s="5" t="n">
        <v>750</v>
      </c>
      <c r="D13" s="11" t="n">
        <v>1.254473380474149</v>
      </c>
      <c r="E13" s="24" t="inlineStr">
        <is>
          <t>PASS</t>
        </is>
      </c>
    </row>
    <row r="14">
      <c r="A14" t="inlineStr">
        <is>
          <t>Moderate Stress</t>
        </is>
      </c>
      <c r="B14" s="16" t="n">
        <v>0.65</v>
      </c>
      <c r="C14" s="5" t="n">
        <v>775</v>
      </c>
      <c r="D14" s="11" t="n">
        <v>1.838111227562784</v>
      </c>
      <c r="E14" s="24" t="inlineStr">
        <is>
          <t>PASS</t>
        </is>
      </c>
    </row>
    <row r="15">
      <c r="A15" t="inlineStr">
        <is>
          <t>Mild Stress</t>
        </is>
      </c>
      <c r="B15" s="16" t="n">
        <v>0.7</v>
      </c>
      <c r="C15" s="5" t="n">
        <v>800</v>
      </c>
      <c r="D15" s="11" t="n">
        <v>2.448415033763615</v>
      </c>
      <c r="E15" s="24" t="inlineStr">
        <is>
          <t>PASS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ASSUMPTIONS &amp; METHODOLOGY</t>
        </is>
      </c>
    </row>
    <row r="3">
      <c r="A3" s="2" t="inlineStr">
        <is>
          <t>PROPERTY ASSUMPTIONS</t>
        </is>
      </c>
    </row>
    <row r="4">
      <c r="A4" t="inlineStr">
        <is>
          <t xml:space="preserve">  Total Rooms:</t>
        </is>
      </c>
      <c r="B4" t="inlineStr">
        <is>
          <t>67 rooms (historic hotel capacity)</t>
        </is>
      </c>
    </row>
    <row r="5">
      <c r="A5" t="inlineStr">
        <is>
          <t xml:space="preserve">  Currently Available:</t>
        </is>
      </c>
      <c r="B5" t="inlineStr">
        <is>
          <t>24 rooms (as of April 2026)</t>
        </is>
      </c>
    </row>
    <row r="6">
      <c r="A6" t="inlineStr">
        <is>
          <t xml:space="preserve">  Currently Occupied:</t>
        </is>
      </c>
      <c r="B6" t="inlineStr">
        <is>
          <t>18 rooms (75% of available)</t>
        </is>
      </c>
    </row>
    <row r="7">
      <c r="A7" t="inlineStr">
        <is>
          <t xml:space="preserve">  To Be Renovated:</t>
        </is>
      </c>
      <c r="B7" t="inlineStr">
        <is>
          <t>43 rooms (7 light, 36 full)</t>
        </is>
      </c>
    </row>
    <row r="8">
      <c r="A8" t="inlineStr">
        <is>
          <t xml:space="preserve">  Renovation Timeline:</t>
        </is>
      </c>
      <c r="B8" t="inlineStr">
        <is>
          <t>6 months from loan closing</t>
        </is>
      </c>
    </row>
    <row r="10">
      <c r="A10" s="2" t="inlineStr">
        <is>
          <t>REVENUE ASSUMPTIONS</t>
        </is>
      </c>
    </row>
    <row r="11">
      <c r="A11" t="inlineStr">
        <is>
          <t xml:space="preserve">  Average Rent:</t>
        </is>
      </c>
      <c r="B11" t="inlineStr">
        <is>
          <t>$850/month post-renovation (range: $700-$1,000)</t>
        </is>
      </c>
    </row>
    <row r="12">
      <c r="A12" t="inlineStr">
        <is>
          <t xml:space="preserve">  Current Rent:</t>
        </is>
      </c>
      <c r="B12" t="inlineStr">
        <is>
          <t>$640-$700/month (as of April 2026)</t>
        </is>
      </c>
    </row>
    <row r="13">
      <c r="A13" t="inlineStr">
        <is>
          <t xml:space="preserve">  Stabilized Occupancy:</t>
        </is>
      </c>
      <c r="B13" t="inlineStr">
        <is>
          <t>80% (conservative for extended stay market)</t>
        </is>
      </c>
    </row>
    <row r="14">
      <c r="A14" t="inlineStr">
        <is>
          <t xml:space="preserve">  Ramp-Up Period:</t>
        </is>
      </c>
      <c r="B14" t="inlineStr">
        <is>
          <t>12 months post-renovation to reach stabilized occupancy</t>
        </is>
      </c>
    </row>
    <row r="15">
      <c r="A15" t="inlineStr">
        <is>
          <t xml:space="preserve">  During Renovation Occupancy:</t>
        </is>
      </c>
      <c r="B15" t="inlineStr">
        <is>
          <t>75% of current baseline maintained</t>
        </is>
      </c>
    </row>
    <row r="16">
      <c r="A16" t="inlineStr">
        <is>
          <t xml:space="preserve">  Laundry Revenue:</t>
        </is>
      </c>
      <c r="B16" t="inlineStr">
        <is>
          <t>1.0 load per occupied room per week @ $4.50/load</t>
        </is>
      </c>
    </row>
    <row r="17">
      <c r="A17" t="inlineStr">
        <is>
          <t xml:space="preserve">  Laundry Equipment:</t>
        </is>
      </c>
      <c r="B17" t="inlineStr">
        <is>
          <t>6 commercial washers, 6 dryers</t>
        </is>
      </c>
    </row>
    <row r="19">
      <c r="A19" s="2" t="inlineStr">
        <is>
          <t>OPERATING EXPENSE ASSUMPTIONS</t>
        </is>
      </c>
    </row>
    <row r="20">
      <c r="A20" t="inlineStr">
        <is>
          <t xml:space="preserve">  Operating Expense per Room:</t>
        </is>
      </c>
      <c r="B20" t="inlineStr">
        <is>
          <t>$344/room/month (all-in)</t>
        </is>
      </c>
    </row>
    <row r="21">
      <c r="A21" t="inlineStr">
        <is>
          <t xml:space="preserve">  Includes:</t>
        </is>
      </c>
      <c r="B21" t="inlineStr">
        <is>
          <t>Payroll, property taxes, utilities, maintenance, insurance, supplies</t>
        </is>
      </c>
    </row>
    <row r="22">
      <c r="A22" t="inlineStr">
        <is>
          <t xml:space="preserve">  Basis:</t>
        </is>
      </c>
      <c r="B22" t="inlineStr">
        <is>
          <t>Q1 2026 actual expenses scaled to 67 rooms</t>
        </is>
      </c>
    </row>
    <row r="23">
      <c r="A23" t="inlineStr">
        <is>
          <t xml:space="preserve">  Payroll:</t>
        </is>
      </c>
      <c r="B23" t="inlineStr">
        <is>
          <t>$4,792/month average (Q1 2026)</t>
        </is>
      </c>
    </row>
    <row r="24">
      <c r="A24" t="inlineStr">
        <is>
          <t xml:space="preserve">  Property Taxes:</t>
        </is>
      </c>
      <c r="B24" t="inlineStr">
        <is>
          <t>$3,000/month ($36,000/year)</t>
        </is>
      </c>
    </row>
    <row r="25">
      <c r="A25" t="inlineStr">
        <is>
          <t xml:space="preserve">  Utilities:</t>
        </is>
      </c>
      <c r="B25" t="inlineStr">
        <is>
          <t>Electric, gas, water, sewer (~$2,300/month total)</t>
        </is>
      </c>
    </row>
    <row r="27">
      <c r="A27" s="2" t="inlineStr">
        <is>
          <t>RENOVATION COST ASSUMPTIONS</t>
        </is>
      </c>
    </row>
    <row r="28">
      <c r="A28" t="inlineStr">
        <is>
          <t xml:space="preserve">  Light Renovation:</t>
        </is>
      </c>
      <c r="B28" t="inlineStr">
        <is>
          <t>$1,217/room × 7 rooms = $8,519</t>
        </is>
      </c>
    </row>
    <row r="29">
      <c r="A29" t="inlineStr">
        <is>
          <t xml:space="preserve">  Full Renovation:</t>
        </is>
      </c>
      <c r="B29" t="inlineStr">
        <is>
          <t>$8,273/room × 36 rooms = $297,828</t>
        </is>
      </c>
    </row>
    <row r="30">
      <c r="A30" t="inlineStr">
        <is>
          <t xml:space="preserve">  Central HVAC System:</t>
        </is>
      </c>
      <c r="B30" t="inlineStr">
        <is>
          <t>$32,000 (20-ton central unit, ductwork, dampers)</t>
        </is>
      </c>
    </row>
    <row r="31">
      <c r="A31" t="inlineStr">
        <is>
          <t xml:space="preserve">  Extended Laundry Facility:</t>
        </is>
      </c>
      <c r="B31" t="inlineStr">
        <is>
          <t>$47,100 (6 washers, 6 dryers, installation)</t>
        </is>
      </c>
    </row>
    <row r="32">
      <c r="A32" t="inlineStr">
        <is>
          <t xml:space="preserve">  Extended Kitchen:</t>
        </is>
      </c>
      <c r="B32" t="inlineStr">
        <is>
          <t>$37,500 (commercial equipment, installation)</t>
        </is>
      </c>
    </row>
    <row r="33">
      <c r="A33" t="inlineStr">
        <is>
          <t xml:space="preserve">  Infrastructure/Jobsite:</t>
        </is>
      </c>
      <c r="B33" t="inlineStr">
        <is>
          <t>$25,000 (permits, tools, management)</t>
        </is>
      </c>
    </row>
    <row r="34">
      <c r="A34" t="inlineStr">
        <is>
          <t xml:space="preserve">  Subtotal:</t>
        </is>
      </c>
      <c r="B34" t="inlineStr">
        <is>
          <t>$448,347</t>
        </is>
      </c>
    </row>
    <row r="35">
      <c r="A35" t="inlineStr">
        <is>
          <t xml:space="preserve">  Contingency:</t>
        </is>
      </c>
      <c r="B35" t="inlineStr">
        <is>
          <t>$44,835 (10%)</t>
        </is>
      </c>
    </row>
    <row r="36">
      <c r="A36" t="inlineStr">
        <is>
          <t xml:space="preserve">  Total Renovation Budget:</t>
        </is>
      </c>
      <c r="B36" t="inlineStr">
        <is>
          <t>$493,182</t>
        </is>
      </c>
    </row>
    <row r="38">
      <c r="A38" s="2" t="inlineStr">
        <is>
          <t>LOAN ASSUMPTIONS</t>
        </is>
      </c>
    </row>
    <row r="39">
      <c r="A39" t="inlineStr">
        <is>
          <t xml:space="preserve">  Loan Amount:</t>
        </is>
      </c>
      <c r="B39" t="inlineStr">
        <is>
          <t>$850,000 (cash-out refinance)</t>
        </is>
      </c>
    </row>
    <row r="40">
      <c r="A40" t="inlineStr">
        <is>
          <t xml:space="preserve">  Use of Proceeds:</t>
        </is>
      </c>
      <c r="B40" t="inlineStr">
        <is>
          <t>$150k debt payoff + $493k renovation + $207k cushion</t>
        </is>
      </c>
    </row>
    <row r="41">
      <c r="A41" t="inlineStr">
        <is>
          <t xml:space="preserve">  Interest Rate:</t>
        </is>
      </c>
      <c r="B41" t="inlineStr">
        <is>
          <t>7.5% (30-year commercial mortgage rate)</t>
        </is>
      </c>
    </row>
    <row r="42">
      <c r="A42" t="inlineStr">
        <is>
          <t xml:space="preserve">  Amortization:</t>
        </is>
      </c>
      <c r="B42" t="inlineStr">
        <is>
          <t>25 years</t>
        </is>
      </c>
    </row>
    <row r="43">
      <c r="A43" t="inlineStr">
        <is>
          <t xml:space="preserve">  Monthly Payment:</t>
        </is>
      </c>
      <c r="B43" t="inlineStr">
        <is>
          <t>$6,281.43 (principal + interest)</t>
        </is>
      </c>
    </row>
    <row r="44">
      <c r="A44" t="inlineStr">
        <is>
          <t xml:space="preserve">  Annual Debt Service:</t>
        </is>
      </c>
      <c r="B44" t="inlineStr">
        <is>
          <t>$75,377</t>
        </is>
      </c>
    </row>
    <row r="45">
      <c r="A45" t="inlineStr">
        <is>
          <t xml:space="preserve">  Existing Debt:</t>
        </is>
      </c>
      <c r="B45" t="inlineStr">
        <is>
          <t>$141,000 (to be paid off at closing)</t>
        </is>
      </c>
    </row>
    <row r="47">
      <c r="A47" s="2" t="inlineStr">
        <is>
          <t>VALUATION ASSUMPTIONS</t>
        </is>
      </c>
    </row>
    <row r="48">
      <c r="A48" t="inlineStr">
        <is>
          <t xml:space="preserve">  As-Is Cap Rate:</t>
        </is>
      </c>
      <c r="B48" t="inlineStr">
        <is>
          <t>12% (reflects current occupancy and condition)</t>
        </is>
      </c>
    </row>
    <row r="49">
      <c r="A49" t="inlineStr">
        <is>
          <t xml:space="preserve">  Stabilized Cap Rate:</t>
        </is>
      </c>
      <c r="B49" t="inlineStr">
        <is>
          <t>10% (post-renovation, stabilized occupancy)</t>
        </is>
      </c>
    </row>
    <row r="50">
      <c r="A50" t="inlineStr">
        <is>
          <t xml:space="preserve">  As-Is NOI:</t>
        </is>
      </c>
      <c r="B50" t="inlineStr">
        <is>
          <t>~$85,000/year (current operations)</t>
        </is>
      </c>
    </row>
    <row r="51">
      <c r="A51" t="inlineStr">
        <is>
          <t xml:space="preserve">  Stabilized NOI:</t>
        </is>
      </c>
      <c r="B51" t="inlineStr">
        <is>
          <t>~$287,000/year (Year 3)</t>
        </is>
      </c>
    </row>
    <row r="52">
      <c r="A52" t="inlineStr">
        <is>
          <t xml:space="preserve">  Stabilized Value:</t>
        </is>
      </c>
      <c r="B52" t="inlineStr">
        <is>
          <t>$2,870,000 (Year 3, 10% cap rate)</t>
        </is>
      </c>
    </row>
    <row r="53">
      <c r="A53" t="inlineStr">
        <is>
          <t xml:space="preserve">  Loan-to-Value:</t>
        </is>
      </c>
      <c r="B53" t="inlineStr">
        <is>
          <t>~30% (conservative, strong equity position)</t>
        </is>
      </c>
    </row>
    <row r="55">
      <c r="A55" s="2" t="inlineStr">
        <is>
          <t>METHODOLOGY NOTES</t>
        </is>
      </c>
    </row>
    <row r="56">
      <c r="A56" t="inlineStr">
        <is>
          <t xml:space="preserve">  Occupancy Ramp:</t>
        </is>
      </c>
      <c r="B56" t="inlineStr">
        <is>
          <t>Modeled as gradual increase from 70% to 80% over 12 months post-renovation</t>
        </is>
      </c>
    </row>
    <row r="57">
      <c r="A57" t="inlineStr">
        <is>
          <t xml:space="preserve">  Seasonality:</t>
        </is>
      </c>
      <c r="B57" t="inlineStr">
        <is>
          <t>Not modeled - extended stay market has minimal seasonal variation</t>
        </is>
      </c>
    </row>
    <row r="58">
      <c r="A58" t="inlineStr">
        <is>
          <t xml:space="preserve">  Vacancy Allowance:</t>
        </is>
      </c>
      <c r="B58" t="inlineStr">
        <is>
          <t>Built into 80% stabilized occupancy assumption</t>
        </is>
      </c>
    </row>
    <row r="59">
      <c r="A59" t="inlineStr">
        <is>
          <t xml:space="preserve">  Bad Debt:</t>
        </is>
      </c>
      <c r="B59" t="inlineStr">
        <is>
          <t>Not separately modeled - included in occupancy assumption</t>
        </is>
      </c>
    </row>
    <row r="60">
      <c r="A60" t="inlineStr">
        <is>
          <t xml:space="preserve">  CapEx Reserve:</t>
        </is>
      </c>
      <c r="B60" t="inlineStr">
        <is>
          <t>Not included in operating expenses - renovation addresses deferred maintenance</t>
        </is>
      </c>
    </row>
    <row r="61">
      <c r="A61" t="inlineStr">
        <is>
          <t xml:space="preserve">  Grant Funding:</t>
        </is>
      </c>
      <c r="B61" t="inlineStr">
        <is>
          <t>40% renovation grant ($240k potential) mentioned but NOT assumed in projections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29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LAUNDRY REVENUE PROJECTIONS (120 Months)</t>
        </is>
      </c>
    </row>
    <row r="3">
      <c r="A3" s="4" t="inlineStr">
        <is>
          <t>ASSUMPTIONS:</t>
        </is>
      </c>
    </row>
    <row r="4">
      <c r="A4" t="inlineStr">
        <is>
          <t>Loads per occupied room per week:</t>
        </is>
      </c>
      <c r="B4" t="n">
        <v>1</v>
      </c>
    </row>
    <row r="5">
      <c r="A5" t="inlineStr">
        <is>
          <t>Washer price per load:</t>
        </is>
      </c>
      <c r="B5" s="7" t="n">
        <v>2.5</v>
      </c>
    </row>
    <row r="6">
      <c r="A6" t="inlineStr">
        <is>
          <t>Dryer price per load:</t>
        </is>
      </c>
      <c r="B6" s="7" t="n">
        <v>2</v>
      </c>
    </row>
    <row r="7">
      <c r="A7" t="inlineStr">
        <is>
          <t>Total per load:</t>
        </is>
      </c>
      <c r="B7" s="12">
        <f>B5+B6</f>
        <v/>
      </c>
    </row>
    <row r="9">
      <c r="A9" s="4" t="inlineStr">
        <is>
          <t>Year</t>
        </is>
      </c>
      <c r="B9" s="4" t="inlineStr">
        <is>
          <t>Month</t>
        </is>
      </c>
      <c r="C9" s="4" t="inlineStr">
        <is>
          <t>Rooms Avail</t>
        </is>
      </c>
      <c r="D9" s="4" t="inlineStr">
        <is>
          <t>Occ %</t>
        </is>
      </c>
      <c r="E9" s="4" t="inlineStr">
        <is>
          <t>Occupied</t>
        </is>
      </c>
      <c r="F9" s="4" t="inlineStr">
        <is>
          <t>Weekly Loads</t>
        </is>
      </c>
      <c r="G9" s="4" t="inlineStr">
        <is>
          <t>Monthly Loads</t>
        </is>
      </c>
      <c r="H9" s="4" t="inlineStr">
        <is>
          <t>Price/Load</t>
        </is>
      </c>
      <c r="I9" s="4" t="inlineStr">
        <is>
          <t>Monthly Revenue</t>
        </is>
      </c>
      <c r="J9" s="4" t="inlineStr">
        <is>
          <t>Monthly Revenue</t>
        </is>
      </c>
    </row>
    <row r="10">
      <c r="A10" t="n">
        <v>1</v>
      </c>
      <c r="B10" t="n">
        <v>1</v>
      </c>
      <c r="C10" t="n">
        <v>24</v>
      </c>
      <c r="D10" s="10" t="n">
        <v>0.5625</v>
      </c>
      <c r="E10" s="14">
        <f>C10*D10</f>
        <v/>
      </c>
      <c r="F10" s="14">
        <f>E10*$B$4</f>
        <v/>
      </c>
      <c r="G10" s="15">
        <f>F10*4.3</f>
        <v/>
      </c>
      <c r="H10" s="7">
        <f>$B$7</f>
        <v/>
      </c>
      <c r="I10" s="5">
        <f>G10*H10</f>
        <v/>
      </c>
      <c r="J10" s="5">
        <f>E10*F10</f>
        <v/>
      </c>
    </row>
    <row r="11">
      <c r="A11" t="n">
        <v>1</v>
      </c>
      <c r="B11" t="n">
        <v>2</v>
      </c>
      <c r="C11" t="n">
        <v>31</v>
      </c>
      <c r="D11" s="10" t="n">
        <v>0.5625</v>
      </c>
      <c r="E11" s="14">
        <f>C11*D11</f>
        <v/>
      </c>
      <c r="F11" s="14">
        <f>E11*$B$4</f>
        <v/>
      </c>
      <c r="G11" s="15">
        <f>F11*4.3</f>
        <v/>
      </c>
      <c r="H11" s="7">
        <f>$B$7</f>
        <v/>
      </c>
      <c r="I11" s="5">
        <f>G11*H11</f>
        <v/>
      </c>
      <c r="J11" s="5">
        <f>E11*F11</f>
        <v/>
      </c>
    </row>
    <row r="12">
      <c r="A12" t="n">
        <v>1</v>
      </c>
      <c r="B12" t="n">
        <v>3</v>
      </c>
      <c r="C12" t="n">
        <v>38</v>
      </c>
      <c r="D12" s="10" t="n">
        <v>0.5625</v>
      </c>
      <c r="E12" s="14">
        <f>C12*D12</f>
        <v/>
      </c>
      <c r="F12" s="14">
        <f>E12*$B$4</f>
        <v/>
      </c>
      <c r="G12" s="15">
        <f>F12*4.3</f>
        <v/>
      </c>
      <c r="H12" s="7">
        <f>$B$7</f>
        <v/>
      </c>
      <c r="I12" s="5">
        <f>G12*H12</f>
        <v/>
      </c>
      <c r="J12" s="5">
        <f>E12*F12</f>
        <v/>
      </c>
    </row>
    <row r="13">
      <c r="A13" t="n">
        <v>1</v>
      </c>
      <c r="B13" t="n">
        <v>4</v>
      </c>
      <c r="C13" t="n">
        <v>46</v>
      </c>
      <c r="D13" s="10" t="n">
        <v>0.5625</v>
      </c>
      <c r="E13" s="14">
        <f>C13*D13</f>
        <v/>
      </c>
      <c r="F13" s="14">
        <f>E13*$B$4</f>
        <v/>
      </c>
      <c r="G13" s="15">
        <f>F13*4.3</f>
        <v/>
      </c>
      <c r="H13" s="7">
        <f>$B$7</f>
        <v/>
      </c>
      <c r="I13" s="5">
        <f>G13*H13</f>
        <v/>
      </c>
      <c r="J13" s="5">
        <f>E13*F13</f>
        <v/>
      </c>
    </row>
    <row r="14">
      <c r="A14" t="n">
        <v>1</v>
      </c>
      <c r="B14" t="n">
        <v>5</v>
      </c>
      <c r="C14" t="n">
        <v>53</v>
      </c>
      <c r="D14" s="10" t="n">
        <v>0.5625</v>
      </c>
      <c r="E14" s="14">
        <f>C14*D14</f>
        <v/>
      </c>
      <c r="F14" s="14">
        <f>E14*$B$4</f>
        <v/>
      </c>
      <c r="G14" s="15">
        <f>F14*4.3</f>
        <v/>
      </c>
      <c r="H14" s="7">
        <f>$B$7</f>
        <v/>
      </c>
      <c r="I14" s="5">
        <f>G14*H14</f>
        <v/>
      </c>
      <c r="J14" s="5">
        <f>E14*F14</f>
        <v/>
      </c>
    </row>
    <row r="15">
      <c r="A15" t="n">
        <v>1</v>
      </c>
      <c r="B15" t="n">
        <v>6</v>
      </c>
      <c r="C15" t="n">
        <v>60</v>
      </c>
      <c r="D15" s="10" t="n">
        <v>0.5625</v>
      </c>
      <c r="E15" s="14">
        <f>C15*D15</f>
        <v/>
      </c>
      <c r="F15" s="14">
        <f>E15*$B$4</f>
        <v/>
      </c>
      <c r="G15" s="15">
        <f>F15*4.3</f>
        <v/>
      </c>
      <c r="H15" s="7">
        <f>$B$7</f>
        <v/>
      </c>
      <c r="I15" s="5">
        <f>G15*H15</f>
        <v/>
      </c>
      <c r="J15" s="5">
        <f>E15*F15</f>
        <v/>
      </c>
    </row>
    <row r="16">
      <c r="A16" t="n">
        <v>1</v>
      </c>
      <c r="B16" t="n">
        <v>7</v>
      </c>
      <c r="C16" t="n">
        <v>67</v>
      </c>
      <c r="D16" s="10" t="n">
        <v>0.7</v>
      </c>
      <c r="E16" s="14">
        <f>C16*D16</f>
        <v/>
      </c>
      <c r="F16" s="14">
        <f>E16*$B$4</f>
        <v/>
      </c>
      <c r="G16" s="15">
        <f>F16*4.3</f>
        <v/>
      </c>
      <c r="H16" s="7">
        <f>$B$7</f>
        <v/>
      </c>
      <c r="I16" s="5">
        <f>G16*H16</f>
        <v/>
      </c>
      <c r="J16" s="5">
        <f>E16*F16</f>
        <v/>
      </c>
    </row>
    <row r="17">
      <c r="A17" t="n">
        <v>1</v>
      </c>
      <c r="B17" t="n">
        <v>8</v>
      </c>
      <c r="C17" t="n">
        <v>67</v>
      </c>
      <c r="D17" s="10" t="n">
        <v>0.7083299999999999</v>
      </c>
      <c r="E17" s="14">
        <f>C17*D17</f>
        <v/>
      </c>
      <c r="F17" s="14">
        <f>E17*$B$4</f>
        <v/>
      </c>
      <c r="G17" s="15">
        <f>F17*4.3</f>
        <v/>
      </c>
      <c r="H17" s="7">
        <f>$B$7</f>
        <v/>
      </c>
      <c r="I17" s="5">
        <f>G17*H17</f>
        <v/>
      </c>
      <c r="J17" s="5">
        <f>E17*F17</f>
        <v/>
      </c>
    </row>
    <row r="18">
      <c r="A18" t="n">
        <v>1</v>
      </c>
      <c r="B18" t="n">
        <v>9</v>
      </c>
      <c r="C18" t="n">
        <v>67</v>
      </c>
      <c r="D18" s="10" t="n">
        <v>0.71666</v>
      </c>
      <c r="E18" s="14">
        <f>C18*D18</f>
        <v/>
      </c>
      <c r="F18" s="14">
        <f>E18*$B$4</f>
        <v/>
      </c>
      <c r="G18" s="15">
        <f>F18*4.3</f>
        <v/>
      </c>
      <c r="H18" s="7">
        <f>$B$7</f>
        <v/>
      </c>
      <c r="I18" s="5">
        <f>G18*H18</f>
        <v/>
      </c>
      <c r="J18" s="5">
        <f>E18*F18</f>
        <v/>
      </c>
    </row>
    <row r="19">
      <c r="A19" t="n">
        <v>1</v>
      </c>
      <c r="B19" t="n">
        <v>10</v>
      </c>
      <c r="C19" t="n">
        <v>67</v>
      </c>
      <c r="D19" s="10" t="n">
        <v>0.7249899999999999</v>
      </c>
      <c r="E19" s="14">
        <f>C19*D19</f>
        <v/>
      </c>
      <c r="F19" s="14">
        <f>E19*$B$4</f>
        <v/>
      </c>
      <c r="G19" s="15">
        <f>F19*4.3</f>
        <v/>
      </c>
      <c r="H19" s="7">
        <f>$B$7</f>
        <v/>
      </c>
      <c r="I19" s="5">
        <f>G19*H19</f>
        <v/>
      </c>
      <c r="J19" s="5">
        <f>E19*F19</f>
        <v/>
      </c>
    </row>
    <row r="20">
      <c r="A20" t="n">
        <v>1</v>
      </c>
      <c r="B20" t="n">
        <v>11</v>
      </c>
      <c r="C20" t="n">
        <v>67</v>
      </c>
      <c r="D20" s="10" t="n">
        <v>0.73332</v>
      </c>
      <c r="E20" s="14">
        <f>C20*D20</f>
        <v/>
      </c>
      <c r="F20" s="14">
        <f>E20*$B$4</f>
        <v/>
      </c>
      <c r="G20" s="15">
        <f>F20*4.3</f>
        <v/>
      </c>
      <c r="H20" s="7">
        <f>$B$7</f>
        <v/>
      </c>
      <c r="I20" s="5">
        <f>G20*H20</f>
        <v/>
      </c>
      <c r="J20" s="5">
        <f>E20*F20</f>
        <v/>
      </c>
    </row>
    <row r="21">
      <c r="A21" t="n">
        <v>1</v>
      </c>
      <c r="B21" t="n">
        <v>12</v>
      </c>
      <c r="C21" t="n">
        <v>67</v>
      </c>
      <c r="D21" s="10" t="n">
        <v>0.7416499999999999</v>
      </c>
      <c r="E21" s="14">
        <f>C21*D21</f>
        <v/>
      </c>
      <c r="F21" s="14">
        <f>E21*$B$4</f>
        <v/>
      </c>
      <c r="G21" s="15">
        <f>F21*4.3</f>
        <v/>
      </c>
      <c r="H21" s="7">
        <f>$B$7</f>
        <v/>
      </c>
      <c r="I21" s="5">
        <f>G21*H21</f>
        <v/>
      </c>
      <c r="J21" s="5">
        <f>E21*F21</f>
        <v/>
      </c>
    </row>
    <row r="22">
      <c r="A22" t="n">
        <v>2</v>
      </c>
      <c r="B22" t="n">
        <v>1</v>
      </c>
      <c r="C22" t="n">
        <v>67</v>
      </c>
      <c r="D22" s="10" t="n">
        <v>0.74998</v>
      </c>
      <c r="E22" s="14">
        <f>C22*D22</f>
        <v/>
      </c>
      <c r="F22" s="14">
        <f>E22*$B$4</f>
        <v/>
      </c>
      <c r="G22" s="15">
        <f>F22*4.3</f>
        <v/>
      </c>
      <c r="H22" s="7">
        <f>$B$7</f>
        <v/>
      </c>
      <c r="I22" s="5">
        <f>G22*H22</f>
        <v/>
      </c>
      <c r="J22" s="5">
        <f>E22*F22</f>
        <v/>
      </c>
    </row>
    <row r="23">
      <c r="A23" t="n">
        <v>2</v>
      </c>
      <c r="B23" t="n">
        <v>2</v>
      </c>
      <c r="C23" t="n">
        <v>67</v>
      </c>
      <c r="D23" s="10" t="n">
        <v>0.7583099999999999</v>
      </c>
      <c r="E23" s="14">
        <f>C23*D23</f>
        <v/>
      </c>
      <c r="F23" s="14">
        <f>E23*$B$4</f>
        <v/>
      </c>
      <c r="G23" s="15">
        <f>F23*4.3</f>
        <v/>
      </c>
      <c r="H23" s="7">
        <f>$B$7</f>
        <v/>
      </c>
      <c r="I23" s="5">
        <f>G23*H23</f>
        <v/>
      </c>
      <c r="J23" s="5">
        <f>E23*F23</f>
        <v/>
      </c>
    </row>
    <row r="24">
      <c r="A24" t="n">
        <v>2</v>
      </c>
      <c r="B24" t="n">
        <v>3</v>
      </c>
      <c r="C24" t="n">
        <v>67</v>
      </c>
      <c r="D24" s="10" t="n">
        <v>0.76664</v>
      </c>
      <c r="E24" s="14">
        <f>C24*D24</f>
        <v/>
      </c>
      <c r="F24" s="14">
        <f>E24*$B$4</f>
        <v/>
      </c>
      <c r="G24" s="15">
        <f>F24*4.3</f>
        <v/>
      </c>
      <c r="H24" s="7">
        <f>$B$7</f>
        <v/>
      </c>
      <c r="I24" s="5">
        <f>G24*H24</f>
        <v/>
      </c>
      <c r="J24" s="5">
        <f>E24*F24</f>
        <v/>
      </c>
    </row>
    <row r="25">
      <c r="A25" t="n">
        <v>2</v>
      </c>
      <c r="B25" t="n">
        <v>4</v>
      </c>
      <c r="C25" t="n">
        <v>67</v>
      </c>
      <c r="D25" s="10" t="n">
        <v>0.7749699999999999</v>
      </c>
      <c r="E25" s="14">
        <f>C25*D25</f>
        <v/>
      </c>
      <c r="F25" s="14">
        <f>E25*$B$4</f>
        <v/>
      </c>
      <c r="G25" s="15">
        <f>F25*4.3</f>
        <v/>
      </c>
      <c r="H25" s="7">
        <f>$B$7</f>
        <v/>
      </c>
      <c r="I25" s="5">
        <f>G25*H25</f>
        <v/>
      </c>
      <c r="J25" s="5">
        <f>E25*F25</f>
        <v/>
      </c>
    </row>
    <row r="26">
      <c r="A26" t="n">
        <v>2</v>
      </c>
      <c r="B26" t="n">
        <v>5</v>
      </c>
      <c r="C26" t="n">
        <v>67</v>
      </c>
      <c r="D26" s="10" t="n">
        <v>0.7833</v>
      </c>
      <c r="E26" s="14">
        <f>C26*D26</f>
        <v/>
      </c>
      <c r="F26" s="14">
        <f>E26*$B$4</f>
        <v/>
      </c>
      <c r="G26" s="15">
        <f>F26*4.3</f>
        <v/>
      </c>
      <c r="H26" s="7">
        <f>$B$7</f>
        <v/>
      </c>
      <c r="I26" s="5">
        <f>G26*H26</f>
        <v/>
      </c>
      <c r="J26" s="5">
        <f>E26*F26</f>
        <v/>
      </c>
    </row>
    <row r="27">
      <c r="A27" t="n">
        <v>2</v>
      </c>
      <c r="B27" t="n">
        <v>6</v>
      </c>
      <c r="C27" t="n">
        <v>67</v>
      </c>
      <c r="D27" s="10" t="n">
        <v>0.7916299999999999</v>
      </c>
      <c r="E27" s="14">
        <f>C27*D27</f>
        <v/>
      </c>
      <c r="F27" s="14">
        <f>E27*$B$4</f>
        <v/>
      </c>
      <c r="G27" s="15">
        <f>F27*4.3</f>
        <v/>
      </c>
      <c r="H27" s="7">
        <f>$B$7</f>
        <v/>
      </c>
      <c r="I27" s="5">
        <f>G27*H27</f>
        <v/>
      </c>
      <c r="J27" s="5">
        <f>E27*F27</f>
        <v/>
      </c>
    </row>
    <row r="28">
      <c r="A28" t="n">
        <v>2</v>
      </c>
      <c r="B28" t="n">
        <v>7</v>
      </c>
      <c r="C28" t="n">
        <v>67</v>
      </c>
      <c r="D28" s="10" t="n">
        <v>0.8</v>
      </c>
      <c r="E28" s="14">
        <f>C28*D28</f>
        <v/>
      </c>
      <c r="F28" s="14">
        <f>E28*$B$4</f>
        <v/>
      </c>
      <c r="G28" s="15">
        <f>F28*4.3</f>
        <v/>
      </c>
      <c r="H28" s="7">
        <f>$B$7</f>
        <v/>
      </c>
      <c r="I28" s="5">
        <f>G28*H28</f>
        <v/>
      </c>
      <c r="J28" s="5">
        <f>E28*F28</f>
        <v/>
      </c>
    </row>
    <row r="29">
      <c r="A29" t="n">
        <v>2</v>
      </c>
      <c r="B29" t="n">
        <v>8</v>
      </c>
      <c r="C29" t="n">
        <v>67</v>
      </c>
      <c r="D29" s="10" t="n">
        <v>0.8</v>
      </c>
      <c r="E29" s="14">
        <f>C29*D29</f>
        <v/>
      </c>
      <c r="F29" s="14">
        <f>E29*$B$4</f>
        <v/>
      </c>
      <c r="G29" s="15">
        <f>F29*4.3</f>
        <v/>
      </c>
      <c r="H29" s="7">
        <f>$B$7</f>
        <v/>
      </c>
      <c r="I29" s="5">
        <f>G29*H29</f>
        <v/>
      </c>
      <c r="J29" s="5">
        <f>E29*F29</f>
        <v/>
      </c>
    </row>
    <row r="30">
      <c r="A30" t="n">
        <v>2</v>
      </c>
      <c r="B30" t="n">
        <v>9</v>
      </c>
      <c r="C30" t="n">
        <v>67</v>
      </c>
      <c r="D30" s="10" t="n">
        <v>0.8</v>
      </c>
      <c r="E30" s="14">
        <f>C30*D30</f>
        <v/>
      </c>
      <c r="F30" s="14">
        <f>E30*$B$4</f>
        <v/>
      </c>
      <c r="G30" s="15">
        <f>F30*4.3</f>
        <v/>
      </c>
      <c r="H30" s="7">
        <f>$B$7</f>
        <v/>
      </c>
      <c r="I30" s="5">
        <f>G30*H30</f>
        <v/>
      </c>
      <c r="J30" s="5">
        <f>E30*F30</f>
        <v/>
      </c>
    </row>
    <row r="31">
      <c r="A31" t="n">
        <v>2</v>
      </c>
      <c r="B31" t="n">
        <v>10</v>
      </c>
      <c r="C31" t="n">
        <v>67</v>
      </c>
      <c r="D31" s="10" t="n">
        <v>0.8</v>
      </c>
      <c r="E31" s="14">
        <f>C31*D31</f>
        <v/>
      </c>
      <c r="F31" s="14">
        <f>E31*$B$4</f>
        <v/>
      </c>
      <c r="G31" s="15">
        <f>F31*4.3</f>
        <v/>
      </c>
      <c r="H31" s="7">
        <f>$B$7</f>
        <v/>
      </c>
      <c r="I31" s="5">
        <f>G31*H31</f>
        <v/>
      </c>
      <c r="J31" s="5">
        <f>E31*F31</f>
        <v/>
      </c>
    </row>
    <row r="32">
      <c r="A32" t="n">
        <v>2</v>
      </c>
      <c r="B32" t="n">
        <v>11</v>
      </c>
      <c r="C32" t="n">
        <v>67</v>
      </c>
      <c r="D32" s="10" t="n">
        <v>0.8</v>
      </c>
      <c r="E32" s="14">
        <f>C32*D32</f>
        <v/>
      </c>
      <c r="F32" s="14">
        <f>E32*$B$4</f>
        <v/>
      </c>
      <c r="G32" s="15">
        <f>F32*4.3</f>
        <v/>
      </c>
      <c r="H32" s="7">
        <f>$B$7</f>
        <v/>
      </c>
      <c r="I32" s="5">
        <f>G32*H32</f>
        <v/>
      </c>
      <c r="J32" s="5">
        <f>E32*F32</f>
        <v/>
      </c>
    </row>
    <row r="33">
      <c r="A33" t="n">
        <v>2</v>
      </c>
      <c r="B33" t="n">
        <v>12</v>
      </c>
      <c r="C33" t="n">
        <v>67</v>
      </c>
      <c r="D33" s="10" t="n">
        <v>0.8</v>
      </c>
      <c r="E33" s="14">
        <f>C33*D33</f>
        <v/>
      </c>
      <c r="F33" s="14">
        <f>E33*$B$4</f>
        <v/>
      </c>
      <c r="G33" s="15">
        <f>F33*4.3</f>
        <v/>
      </c>
      <c r="H33" s="7">
        <f>$B$7</f>
        <v/>
      </c>
      <c r="I33" s="5">
        <f>G33*H33</f>
        <v/>
      </c>
      <c r="J33" s="5">
        <f>E33*F33</f>
        <v/>
      </c>
    </row>
    <row r="34">
      <c r="A34" t="n">
        <v>3</v>
      </c>
      <c r="B34" t="n">
        <v>1</v>
      </c>
      <c r="C34" t="n">
        <v>67</v>
      </c>
      <c r="D34" s="10" t="n">
        <v>0.8</v>
      </c>
      <c r="E34" s="14">
        <f>C34*D34</f>
        <v/>
      </c>
      <c r="F34" s="14">
        <f>E34*$B$4</f>
        <v/>
      </c>
      <c r="G34" s="15">
        <f>F34*4.3</f>
        <v/>
      </c>
      <c r="H34" s="7">
        <f>$B$7</f>
        <v/>
      </c>
      <c r="I34" s="5">
        <f>G34*H34</f>
        <v/>
      </c>
      <c r="J34" s="5">
        <f>E34*F34</f>
        <v/>
      </c>
    </row>
    <row r="35">
      <c r="A35" t="n">
        <v>3</v>
      </c>
      <c r="B35" t="n">
        <v>2</v>
      </c>
      <c r="C35" t="n">
        <v>67</v>
      </c>
      <c r="D35" s="10" t="n">
        <v>0.8</v>
      </c>
      <c r="E35" s="14">
        <f>C35*D35</f>
        <v/>
      </c>
      <c r="F35" s="14">
        <f>E35*$B$4</f>
        <v/>
      </c>
      <c r="G35" s="15">
        <f>F35*4.3</f>
        <v/>
      </c>
      <c r="H35" s="7">
        <f>$B$7</f>
        <v/>
      </c>
      <c r="I35" s="5">
        <f>G35*H35</f>
        <v/>
      </c>
      <c r="J35" s="5">
        <f>E35*F35</f>
        <v/>
      </c>
    </row>
    <row r="36">
      <c r="A36" t="n">
        <v>3</v>
      </c>
      <c r="B36" t="n">
        <v>3</v>
      </c>
      <c r="C36" t="n">
        <v>67</v>
      </c>
      <c r="D36" s="10" t="n">
        <v>0.8</v>
      </c>
      <c r="E36" s="14">
        <f>C36*D36</f>
        <v/>
      </c>
      <c r="F36" s="14">
        <f>E36*$B$4</f>
        <v/>
      </c>
      <c r="G36" s="15">
        <f>F36*4.3</f>
        <v/>
      </c>
      <c r="H36" s="7">
        <f>$B$7</f>
        <v/>
      </c>
      <c r="I36" s="5">
        <f>G36*H36</f>
        <v/>
      </c>
      <c r="J36" s="5">
        <f>E36*F36</f>
        <v/>
      </c>
    </row>
    <row r="37">
      <c r="A37" t="n">
        <v>3</v>
      </c>
      <c r="B37" t="n">
        <v>4</v>
      </c>
      <c r="C37" t="n">
        <v>67</v>
      </c>
      <c r="D37" s="10" t="n">
        <v>0.8</v>
      </c>
      <c r="E37" s="14">
        <f>C37*D37</f>
        <v/>
      </c>
      <c r="F37" s="14">
        <f>E37*$B$4</f>
        <v/>
      </c>
      <c r="G37" s="15">
        <f>F37*4.3</f>
        <v/>
      </c>
      <c r="H37" s="7">
        <f>$B$7</f>
        <v/>
      </c>
      <c r="I37" s="5">
        <f>G37*H37</f>
        <v/>
      </c>
      <c r="J37" s="5">
        <f>E37*F37</f>
        <v/>
      </c>
    </row>
    <row r="38">
      <c r="A38" t="n">
        <v>3</v>
      </c>
      <c r="B38" t="n">
        <v>5</v>
      </c>
      <c r="C38" t="n">
        <v>67</v>
      </c>
      <c r="D38" s="10" t="n">
        <v>0.8</v>
      </c>
      <c r="E38" s="14">
        <f>C38*D38</f>
        <v/>
      </c>
      <c r="F38" s="14">
        <f>E38*$B$4</f>
        <v/>
      </c>
      <c r="G38" s="15">
        <f>F38*4.3</f>
        <v/>
      </c>
      <c r="H38" s="7">
        <f>$B$7</f>
        <v/>
      </c>
      <c r="I38" s="5">
        <f>G38*H38</f>
        <v/>
      </c>
      <c r="J38" s="5">
        <f>E38*F38</f>
        <v/>
      </c>
    </row>
    <row r="39">
      <c r="A39" t="n">
        <v>3</v>
      </c>
      <c r="B39" t="n">
        <v>6</v>
      </c>
      <c r="C39" t="n">
        <v>67</v>
      </c>
      <c r="D39" s="10" t="n">
        <v>0.8</v>
      </c>
      <c r="E39" s="14">
        <f>C39*D39</f>
        <v/>
      </c>
      <c r="F39" s="14">
        <f>E39*$B$4</f>
        <v/>
      </c>
      <c r="G39" s="15">
        <f>F39*4.3</f>
        <v/>
      </c>
      <c r="H39" s="7">
        <f>$B$7</f>
        <v/>
      </c>
      <c r="I39" s="5">
        <f>G39*H39</f>
        <v/>
      </c>
      <c r="J39" s="5">
        <f>E39*F39</f>
        <v/>
      </c>
    </row>
    <row r="40">
      <c r="A40" t="n">
        <v>3</v>
      </c>
      <c r="B40" t="n">
        <v>7</v>
      </c>
      <c r="C40" t="n">
        <v>67</v>
      </c>
      <c r="D40" s="10" t="n">
        <v>0.8</v>
      </c>
      <c r="E40" s="14">
        <f>C40*D40</f>
        <v/>
      </c>
      <c r="F40" s="14">
        <f>E40*$B$4</f>
        <v/>
      </c>
      <c r="G40" s="15">
        <f>F40*4.3</f>
        <v/>
      </c>
      <c r="H40" s="7">
        <f>$B$7</f>
        <v/>
      </c>
      <c r="I40" s="5">
        <f>G40*H40</f>
        <v/>
      </c>
      <c r="J40" s="5">
        <f>E40*F40</f>
        <v/>
      </c>
    </row>
    <row r="41">
      <c r="A41" t="n">
        <v>3</v>
      </c>
      <c r="B41" t="n">
        <v>8</v>
      </c>
      <c r="C41" t="n">
        <v>67</v>
      </c>
      <c r="D41" s="10" t="n">
        <v>0.8</v>
      </c>
      <c r="E41" s="14">
        <f>C41*D41</f>
        <v/>
      </c>
      <c r="F41" s="14">
        <f>E41*$B$4</f>
        <v/>
      </c>
      <c r="G41" s="15">
        <f>F41*4.3</f>
        <v/>
      </c>
      <c r="H41" s="7">
        <f>$B$7</f>
        <v/>
      </c>
      <c r="I41" s="5">
        <f>G41*H41</f>
        <v/>
      </c>
      <c r="J41" s="5">
        <f>E41*F41</f>
        <v/>
      </c>
    </row>
    <row r="42">
      <c r="A42" t="n">
        <v>3</v>
      </c>
      <c r="B42" t="n">
        <v>9</v>
      </c>
      <c r="C42" t="n">
        <v>67</v>
      </c>
      <c r="D42" s="10" t="n">
        <v>0.8</v>
      </c>
      <c r="E42" s="14">
        <f>C42*D42</f>
        <v/>
      </c>
      <c r="F42" s="14">
        <f>E42*$B$4</f>
        <v/>
      </c>
      <c r="G42" s="15">
        <f>F42*4.3</f>
        <v/>
      </c>
      <c r="H42" s="7">
        <f>$B$7</f>
        <v/>
      </c>
      <c r="I42" s="5">
        <f>G42*H42</f>
        <v/>
      </c>
      <c r="J42" s="5">
        <f>E42*F42</f>
        <v/>
      </c>
    </row>
    <row r="43">
      <c r="A43" t="n">
        <v>3</v>
      </c>
      <c r="B43" t="n">
        <v>10</v>
      </c>
      <c r="C43" t="n">
        <v>67</v>
      </c>
      <c r="D43" s="10" t="n">
        <v>0.8</v>
      </c>
      <c r="E43" s="14">
        <f>C43*D43</f>
        <v/>
      </c>
      <c r="F43" s="14">
        <f>E43*$B$4</f>
        <v/>
      </c>
      <c r="G43" s="15">
        <f>F43*4.3</f>
        <v/>
      </c>
      <c r="H43" s="7">
        <f>$B$7</f>
        <v/>
      </c>
      <c r="I43" s="5">
        <f>G43*H43</f>
        <v/>
      </c>
      <c r="J43" s="5">
        <f>E43*F43</f>
        <v/>
      </c>
    </row>
    <row r="44">
      <c r="A44" t="n">
        <v>3</v>
      </c>
      <c r="B44" t="n">
        <v>11</v>
      </c>
      <c r="C44" t="n">
        <v>67</v>
      </c>
      <c r="D44" s="10" t="n">
        <v>0.8</v>
      </c>
      <c r="E44" s="14">
        <f>C44*D44</f>
        <v/>
      </c>
      <c r="F44" s="14">
        <f>E44*$B$4</f>
        <v/>
      </c>
      <c r="G44" s="15">
        <f>F44*4.3</f>
        <v/>
      </c>
      <c r="H44" s="7">
        <f>$B$7</f>
        <v/>
      </c>
      <c r="I44" s="5">
        <f>G44*H44</f>
        <v/>
      </c>
      <c r="J44" s="5">
        <f>E44*F44</f>
        <v/>
      </c>
    </row>
    <row r="45">
      <c r="A45" t="n">
        <v>3</v>
      </c>
      <c r="B45" t="n">
        <v>12</v>
      </c>
      <c r="C45" t="n">
        <v>67</v>
      </c>
      <c r="D45" s="10" t="n">
        <v>0.8</v>
      </c>
      <c r="E45" s="14">
        <f>C45*D45</f>
        <v/>
      </c>
      <c r="F45" s="14">
        <f>E45*$B$4</f>
        <v/>
      </c>
      <c r="G45" s="15">
        <f>F45*4.3</f>
        <v/>
      </c>
      <c r="H45" s="7">
        <f>$B$7</f>
        <v/>
      </c>
      <c r="I45" s="5">
        <f>G45*H45</f>
        <v/>
      </c>
      <c r="J45" s="5">
        <f>E45*F45</f>
        <v/>
      </c>
    </row>
    <row r="46">
      <c r="A46" t="n">
        <v>4</v>
      </c>
      <c r="B46" t="n">
        <v>1</v>
      </c>
      <c r="C46" t="n">
        <v>67</v>
      </c>
      <c r="D46" s="10" t="n">
        <v>0.8</v>
      </c>
      <c r="E46" s="14">
        <f>C46*D46</f>
        <v/>
      </c>
      <c r="F46" s="14">
        <f>E46*$B$4</f>
        <v/>
      </c>
      <c r="G46" s="15">
        <f>F46*4.3</f>
        <v/>
      </c>
      <c r="H46" s="7">
        <f>$B$7</f>
        <v/>
      </c>
      <c r="I46" s="5">
        <f>G46*H46</f>
        <v/>
      </c>
      <c r="J46" s="5">
        <f>E46*F46</f>
        <v/>
      </c>
    </row>
    <row r="47">
      <c r="A47" t="n">
        <v>4</v>
      </c>
      <c r="B47" t="n">
        <v>2</v>
      </c>
      <c r="C47" t="n">
        <v>67</v>
      </c>
      <c r="D47" s="10" t="n">
        <v>0.8</v>
      </c>
      <c r="E47" s="14">
        <f>C47*D47</f>
        <v/>
      </c>
      <c r="F47" s="14">
        <f>E47*$B$4</f>
        <v/>
      </c>
      <c r="G47" s="15">
        <f>F47*4.3</f>
        <v/>
      </c>
      <c r="H47" s="7">
        <f>$B$7</f>
        <v/>
      </c>
      <c r="I47" s="5">
        <f>G47*H47</f>
        <v/>
      </c>
      <c r="J47" s="5">
        <f>E47*F47</f>
        <v/>
      </c>
    </row>
    <row r="48">
      <c r="A48" t="n">
        <v>4</v>
      </c>
      <c r="B48" t="n">
        <v>3</v>
      </c>
      <c r="C48" t="n">
        <v>67</v>
      </c>
      <c r="D48" s="10" t="n">
        <v>0.8</v>
      </c>
      <c r="E48" s="14">
        <f>C48*D48</f>
        <v/>
      </c>
      <c r="F48" s="14">
        <f>E48*$B$4</f>
        <v/>
      </c>
      <c r="G48" s="15">
        <f>F48*4.3</f>
        <v/>
      </c>
      <c r="H48" s="7">
        <f>$B$7</f>
        <v/>
      </c>
      <c r="I48" s="5">
        <f>G48*H48</f>
        <v/>
      </c>
      <c r="J48" s="5">
        <f>E48*F48</f>
        <v/>
      </c>
    </row>
    <row r="49">
      <c r="A49" t="n">
        <v>4</v>
      </c>
      <c r="B49" t="n">
        <v>4</v>
      </c>
      <c r="C49" t="n">
        <v>67</v>
      </c>
      <c r="D49" s="10" t="n">
        <v>0.8</v>
      </c>
      <c r="E49" s="14">
        <f>C49*D49</f>
        <v/>
      </c>
      <c r="F49" s="14">
        <f>E49*$B$4</f>
        <v/>
      </c>
      <c r="G49" s="15">
        <f>F49*4.3</f>
        <v/>
      </c>
      <c r="H49" s="7">
        <f>$B$7</f>
        <v/>
      </c>
      <c r="I49" s="5">
        <f>G49*H49</f>
        <v/>
      </c>
      <c r="J49" s="5">
        <f>E49*F49</f>
        <v/>
      </c>
    </row>
    <row r="50">
      <c r="A50" t="n">
        <v>4</v>
      </c>
      <c r="B50" t="n">
        <v>5</v>
      </c>
      <c r="C50" t="n">
        <v>67</v>
      </c>
      <c r="D50" s="10" t="n">
        <v>0.8</v>
      </c>
      <c r="E50" s="14">
        <f>C50*D50</f>
        <v/>
      </c>
      <c r="F50" s="14">
        <f>E50*$B$4</f>
        <v/>
      </c>
      <c r="G50" s="15">
        <f>F50*4.3</f>
        <v/>
      </c>
      <c r="H50" s="7">
        <f>$B$7</f>
        <v/>
      </c>
      <c r="I50" s="5">
        <f>G50*H50</f>
        <v/>
      </c>
      <c r="J50" s="5">
        <f>E50*F50</f>
        <v/>
      </c>
    </row>
    <row r="51">
      <c r="A51" t="n">
        <v>4</v>
      </c>
      <c r="B51" t="n">
        <v>6</v>
      </c>
      <c r="C51" t="n">
        <v>67</v>
      </c>
      <c r="D51" s="10" t="n">
        <v>0.8</v>
      </c>
      <c r="E51" s="14">
        <f>C51*D51</f>
        <v/>
      </c>
      <c r="F51" s="14">
        <f>E51*$B$4</f>
        <v/>
      </c>
      <c r="G51" s="15">
        <f>F51*4.3</f>
        <v/>
      </c>
      <c r="H51" s="7">
        <f>$B$7</f>
        <v/>
      </c>
      <c r="I51" s="5">
        <f>G51*H51</f>
        <v/>
      </c>
      <c r="J51" s="5">
        <f>E51*F51</f>
        <v/>
      </c>
    </row>
    <row r="52">
      <c r="A52" t="n">
        <v>4</v>
      </c>
      <c r="B52" t="n">
        <v>7</v>
      </c>
      <c r="C52" t="n">
        <v>67</v>
      </c>
      <c r="D52" s="10" t="n">
        <v>0.8</v>
      </c>
      <c r="E52" s="14">
        <f>C52*D52</f>
        <v/>
      </c>
      <c r="F52" s="14">
        <f>E52*$B$4</f>
        <v/>
      </c>
      <c r="G52" s="15">
        <f>F52*4.3</f>
        <v/>
      </c>
      <c r="H52" s="7">
        <f>$B$7</f>
        <v/>
      </c>
      <c r="I52" s="5">
        <f>G52*H52</f>
        <v/>
      </c>
      <c r="J52" s="5">
        <f>E52*F52</f>
        <v/>
      </c>
    </row>
    <row r="53">
      <c r="A53" t="n">
        <v>4</v>
      </c>
      <c r="B53" t="n">
        <v>8</v>
      </c>
      <c r="C53" t="n">
        <v>67</v>
      </c>
      <c r="D53" s="10" t="n">
        <v>0.8</v>
      </c>
      <c r="E53" s="14">
        <f>C53*D53</f>
        <v/>
      </c>
      <c r="F53" s="14">
        <f>E53*$B$4</f>
        <v/>
      </c>
      <c r="G53" s="15">
        <f>F53*4.3</f>
        <v/>
      </c>
      <c r="H53" s="7">
        <f>$B$7</f>
        <v/>
      </c>
      <c r="I53" s="5">
        <f>G53*H53</f>
        <v/>
      </c>
      <c r="J53" s="5">
        <f>E53*F53</f>
        <v/>
      </c>
    </row>
    <row r="54">
      <c r="A54" t="n">
        <v>4</v>
      </c>
      <c r="B54" t="n">
        <v>9</v>
      </c>
      <c r="C54" t="n">
        <v>67</v>
      </c>
      <c r="D54" s="10" t="n">
        <v>0.8</v>
      </c>
      <c r="E54" s="14">
        <f>C54*D54</f>
        <v/>
      </c>
      <c r="F54" s="14">
        <f>E54*$B$4</f>
        <v/>
      </c>
      <c r="G54" s="15">
        <f>F54*4.3</f>
        <v/>
      </c>
      <c r="H54" s="7">
        <f>$B$7</f>
        <v/>
      </c>
      <c r="I54" s="5">
        <f>G54*H54</f>
        <v/>
      </c>
      <c r="J54" s="5">
        <f>E54*F54</f>
        <v/>
      </c>
    </row>
    <row r="55">
      <c r="A55" t="n">
        <v>4</v>
      </c>
      <c r="B55" t="n">
        <v>10</v>
      </c>
      <c r="C55" t="n">
        <v>67</v>
      </c>
      <c r="D55" s="10" t="n">
        <v>0.8</v>
      </c>
      <c r="E55" s="14">
        <f>C55*D55</f>
        <v/>
      </c>
      <c r="F55" s="14">
        <f>E55*$B$4</f>
        <v/>
      </c>
      <c r="G55" s="15">
        <f>F55*4.3</f>
        <v/>
      </c>
      <c r="H55" s="7">
        <f>$B$7</f>
        <v/>
      </c>
      <c r="I55" s="5">
        <f>G55*H55</f>
        <v/>
      </c>
      <c r="J55" s="5">
        <f>E55*F55</f>
        <v/>
      </c>
    </row>
    <row r="56">
      <c r="A56" t="n">
        <v>4</v>
      </c>
      <c r="B56" t="n">
        <v>11</v>
      </c>
      <c r="C56" t="n">
        <v>67</v>
      </c>
      <c r="D56" s="10" t="n">
        <v>0.8</v>
      </c>
      <c r="E56" s="14">
        <f>C56*D56</f>
        <v/>
      </c>
      <c r="F56" s="14">
        <f>E56*$B$4</f>
        <v/>
      </c>
      <c r="G56" s="15">
        <f>F56*4.3</f>
        <v/>
      </c>
      <c r="H56" s="7">
        <f>$B$7</f>
        <v/>
      </c>
      <c r="I56" s="5">
        <f>G56*H56</f>
        <v/>
      </c>
      <c r="J56" s="5">
        <f>E56*F56</f>
        <v/>
      </c>
    </row>
    <row r="57">
      <c r="A57" t="n">
        <v>4</v>
      </c>
      <c r="B57" t="n">
        <v>12</v>
      </c>
      <c r="C57" t="n">
        <v>67</v>
      </c>
      <c r="D57" s="10" t="n">
        <v>0.8</v>
      </c>
      <c r="E57" s="14">
        <f>C57*D57</f>
        <v/>
      </c>
      <c r="F57" s="14">
        <f>E57*$B$4</f>
        <v/>
      </c>
      <c r="G57" s="15">
        <f>F57*4.3</f>
        <v/>
      </c>
      <c r="H57" s="7">
        <f>$B$7</f>
        <v/>
      </c>
      <c r="I57" s="5">
        <f>G57*H57</f>
        <v/>
      </c>
      <c r="J57" s="5">
        <f>E57*F57</f>
        <v/>
      </c>
    </row>
    <row r="58">
      <c r="A58" t="n">
        <v>5</v>
      </c>
      <c r="B58" t="n">
        <v>1</v>
      </c>
      <c r="C58" t="n">
        <v>67</v>
      </c>
      <c r="D58" s="10" t="n">
        <v>0.8</v>
      </c>
      <c r="E58" s="14">
        <f>C58*D58</f>
        <v/>
      </c>
      <c r="F58" s="14">
        <f>E58*$B$4</f>
        <v/>
      </c>
      <c r="G58" s="15">
        <f>F58*4.3</f>
        <v/>
      </c>
      <c r="H58" s="7">
        <f>$B$7</f>
        <v/>
      </c>
      <c r="I58" s="5">
        <f>G58*H58</f>
        <v/>
      </c>
      <c r="J58" s="5">
        <f>E58*F58</f>
        <v/>
      </c>
    </row>
    <row r="59">
      <c r="A59" t="n">
        <v>5</v>
      </c>
      <c r="B59" t="n">
        <v>2</v>
      </c>
      <c r="C59" t="n">
        <v>67</v>
      </c>
      <c r="D59" s="10" t="n">
        <v>0.8</v>
      </c>
      <c r="E59" s="14">
        <f>C59*D59</f>
        <v/>
      </c>
      <c r="F59" s="14">
        <f>E59*$B$4</f>
        <v/>
      </c>
      <c r="G59" s="15">
        <f>F59*4.3</f>
        <v/>
      </c>
      <c r="H59" s="7">
        <f>$B$7</f>
        <v/>
      </c>
      <c r="I59" s="5">
        <f>G59*H59</f>
        <v/>
      </c>
      <c r="J59" s="5">
        <f>E59*F59</f>
        <v/>
      </c>
    </row>
    <row r="60">
      <c r="A60" t="n">
        <v>5</v>
      </c>
      <c r="B60" t="n">
        <v>3</v>
      </c>
      <c r="C60" t="n">
        <v>67</v>
      </c>
      <c r="D60" s="10" t="n">
        <v>0.8</v>
      </c>
      <c r="E60" s="14">
        <f>C60*D60</f>
        <v/>
      </c>
      <c r="F60" s="14">
        <f>E60*$B$4</f>
        <v/>
      </c>
      <c r="G60" s="15">
        <f>F60*4.3</f>
        <v/>
      </c>
      <c r="H60" s="7">
        <f>$B$7</f>
        <v/>
      </c>
      <c r="I60" s="5">
        <f>G60*H60</f>
        <v/>
      </c>
      <c r="J60" s="5">
        <f>E60*F60</f>
        <v/>
      </c>
    </row>
    <row r="61">
      <c r="A61" t="n">
        <v>5</v>
      </c>
      <c r="B61" t="n">
        <v>4</v>
      </c>
      <c r="C61" t="n">
        <v>67</v>
      </c>
      <c r="D61" s="10" t="n">
        <v>0.8</v>
      </c>
      <c r="E61" s="14">
        <f>C61*D61</f>
        <v/>
      </c>
      <c r="F61" s="14">
        <f>E61*$B$4</f>
        <v/>
      </c>
      <c r="G61" s="15">
        <f>F61*4.3</f>
        <v/>
      </c>
      <c r="H61" s="7">
        <f>$B$7</f>
        <v/>
      </c>
      <c r="I61" s="5">
        <f>G61*H61</f>
        <v/>
      </c>
      <c r="J61" s="5">
        <f>E61*F61</f>
        <v/>
      </c>
    </row>
    <row r="62">
      <c r="A62" t="n">
        <v>5</v>
      </c>
      <c r="B62" t="n">
        <v>5</v>
      </c>
      <c r="C62" t="n">
        <v>67</v>
      </c>
      <c r="D62" s="10" t="n">
        <v>0.8</v>
      </c>
      <c r="E62" s="14">
        <f>C62*D62</f>
        <v/>
      </c>
      <c r="F62" s="14">
        <f>E62*$B$4</f>
        <v/>
      </c>
      <c r="G62" s="15">
        <f>F62*4.3</f>
        <v/>
      </c>
      <c r="H62" s="7">
        <f>$B$7</f>
        <v/>
      </c>
      <c r="I62" s="5">
        <f>G62*H62</f>
        <v/>
      </c>
      <c r="J62" s="5">
        <f>E62*F62</f>
        <v/>
      </c>
    </row>
    <row r="63">
      <c r="A63" t="n">
        <v>5</v>
      </c>
      <c r="B63" t="n">
        <v>6</v>
      </c>
      <c r="C63" t="n">
        <v>67</v>
      </c>
      <c r="D63" s="10" t="n">
        <v>0.8</v>
      </c>
      <c r="E63" s="14">
        <f>C63*D63</f>
        <v/>
      </c>
      <c r="F63" s="14">
        <f>E63*$B$4</f>
        <v/>
      </c>
      <c r="G63" s="15">
        <f>F63*4.3</f>
        <v/>
      </c>
      <c r="H63" s="7">
        <f>$B$7</f>
        <v/>
      </c>
      <c r="I63" s="5">
        <f>G63*H63</f>
        <v/>
      </c>
      <c r="J63" s="5">
        <f>E63*F63</f>
        <v/>
      </c>
    </row>
    <row r="64">
      <c r="A64" t="n">
        <v>5</v>
      </c>
      <c r="B64" t="n">
        <v>7</v>
      </c>
      <c r="C64" t="n">
        <v>67</v>
      </c>
      <c r="D64" s="10" t="n">
        <v>0.8</v>
      </c>
      <c r="E64" s="14">
        <f>C64*D64</f>
        <v/>
      </c>
      <c r="F64" s="14">
        <f>E64*$B$4</f>
        <v/>
      </c>
      <c r="G64" s="15">
        <f>F64*4.3</f>
        <v/>
      </c>
      <c r="H64" s="7">
        <f>$B$7</f>
        <v/>
      </c>
      <c r="I64" s="5">
        <f>G64*H64</f>
        <v/>
      </c>
      <c r="J64" s="5">
        <f>E64*F64</f>
        <v/>
      </c>
    </row>
    <row r="65">
      <c r="A65" t="n">
        <v>5</v>
      </c>
      <c r="B65" t="n">
        <v>8</v>
      </c>
      <c r="C65" t="n">
        <v>67</v>
      </c>
      <c r="D65" s="10" t="n">
        <v>0.8</v>
      </c>
      <c r="E65" s="14">
        <f>C65*D65</f>
        <v/>
      </c>
      <c r="F65" s="14">
        <f>E65*$B$4</f>
        <v/>
      </c>
      <c r="G65" s="15">
        <f>F65*4.3</f>
        <v/>
      </c>
      <c r="H65" s="7">
        <f>$B$7</f>
        <v/>
      </c>
      <c r="I65" s="5">
        <f>G65*H65</f>
        <v/>
      </c>
      <c r="J65" s="5">
        <f>E65*F65</f>
        <v/>
      </c>
    </row>
    <row r="66">
      <c r="A66" t="n">
        <v>5</v>
      </c>
      <c r="B66" t="n">
        <v>9</v>
      </c>
      <c r="C66" t="n">
        <v>67</v>
      </c>
      <c r="D66" s="10" t="n">
        <v>0.8</v>
      </c>
      <c r="E66" s="14">
        <f>C66*D66</f>
        <v/>
      </c>
      <c r="F66" s="14">
        <f>E66*$B$4</f>
        <v/>
      </c>
      <c r="G66" s="15">
        <f>F66*4.3</f>
        <v/>
      </c>
      <c r="H66" s="7">
        <f>$B$7</f>
        <v/>
      </c>
      <c r="I66" s="5">
        <f>G66*H66</f>
        <v/>
      </c>
      <c r="J66" s="5">
        <f>E66*F66</f>
        <v/>
      </c>
    </row>
    <row r="67">
      <c r="A67" t="n">
        <v>5</v>
      </c>
      <c r="B67" t="n">
        <v>10</v>
      </c>
      <c r="C67" t="n">
        <v>67</v>
      </c>
      <c r="D67" s="10" t="n">
        <v>0.8</v>
      </c>
      <c r="E67" s="14">
        <f>C67*D67</f>
        <v/>
      </c>
      <c r="F67" s="14">
        <f>E67*$B$4</f>
        <v/>
      </c>
      <c r="G67" s="15">
        <f>F67*4.3</f>
        <v/>
      </c>
      <c r="H67" s="7">
        <f>$B$7</f>
        <v/>
      </c>
      <c r="I67" s="5">
        <f>G67*H67</f>
        <v/>
      </c>
      <c r="J67" s="5">
        <f>E67*F67</f>
        <v/>
      </c>
    </row>
    <row r="68">
      <c r="A68" t="n">
        <v>5</v>
      </c>
      <c r="B68" t="n">
        <v>11</v>
      </c>
      <c r="C68" t="n">
        <v>67</v>
      </c>
      <c r="D68" s="10" t="n">
        <v>0.8</v>
      </c>
      <c r="E68" s="14">
        <f>C68*D68</f>
        <v/>
      </c>
      <c r="F68" s="14">
        <f>E68*$B$4</f>
        <v/>
      </c>
      <c r="G68" s="15">
        <f>F68*4.3</f>
        <v/>
      </c>
      <c r="H68" s="7">
        <f>$B$7</f>
        <v/>
      </c>
      <c r="I68" s="5">
        <f>G68*H68</f>
        <v/>
      </c>
      <c r="J68" s="5">
        <f>E68*F68</f>
        <v/>
      </c>
    </row>
    <row r="69">
      <c r="A69" t="n">
        <v>5</v>
      </c>
      <c r="B69" t="n">
        <v>12</v>
      </c>
      <c r="C69" t="n">
        <v>67</v>
      </c>
      <c r="D69" s="10" t="n">
        <v>0.8</v>
      </c>
      <c r="E69" s="14">
        <f>C69*D69</f>
        <v/>
      </c>
      <c r="F69" s="14">
        <f>E69*$B$4</f>
        <v/>
      </c>
      <c r="G69" s="15">
        <f>F69*4.3</f>
        <v/>
      </c>
      <c r="H69" s="7">
        <f>$B$7</f>
        <v/>
      </c>
      <c r="I69" s="5">
        <f>G69*H69</f>
        <v/>
      </c>
      <c r="J69" s="5">
        <f>E69*F69</f>
        <v/>
      </c>
    </row>
    <row r="70">
      <c r="A70" t="n">
        <v>6</v>
      </c>
      <c r="B70" t="n">
        <v>1</v>
      </c>
      <c r="C70" t="n">
        <v>67</v>
      </c>
      <c r="D70" s="10" t="n">
        <v>0.8</v>
      </c>
      <c r="E70" s="14">
        <f>C70*D70</f>
        <v/>
      </c>
      <c r="F70" s="14">
        <f>E70*$B$4</f>
        <v/>
      </c>
      <c r="G70" s="15">
        <f>F70*4.3</f>
        <v/>
      </c>
      <c r="H70" s="7">
        <f>$B$7</f>
        <v/>
      </c>
      <c r="I70" s="5">
        <f>G70*H70</f>
        <v/>
      </c>
      <c r="J70" s="5">
        <f>E70*F70</f>
        <v/>
      </c>
    </row>
    <row r="71">
      <c r="A71" t="n">
        <v>6</v>
      </c>
      <c r="B71" t="n">
        <v>2</v>
      </c>
      <c r="C71" t="n">
        <v>67</v>
      </c>
      <c r="D71" s="10" t="n">
        <v>0.8</v>
      </c>
      <c r="E71" s="14">
        <f>C71*D71</f>
        <v/>
      </c>
      <c r="F71" s="14">
        <f>E71*$B$4</f>
        <v/>
      </c>
      <c r="G71" s="15">
        <f>F71*4.3</f>
        <v/>
      </c>
      <c r="H71" s="7">
        <f>$B$7</f>
        <v/>
      </c>
      <c r="I71" s="5">
        <f>G71*H71</f>
        <v/>
      </c>
      <c r="J71" s="5">
        <f>E71*F71</f>
        <v/>
      </c>
    </row>
    <row r="72">
      <c r="A72" t="n">
        <v>6</v>
      </c>
      <c r="B72" t="n">
        <v>3</v>
      </c>
      <c r="C72" t="n">
        <v>67</v>
      </c>
      <c r="D72" s="10" t="n">
        <v>0.8</v>
      </c>
      <c r="E72" s="14">
        <f>C72*D72</f>
        <v/>
      </c>
      <c r="F72" s="14">
        <f>E72*$B$4</f>
        <v/>
      </c>
      <c r="G72" s="15">
        <f>F72*4.3</f>
        <v/>
      </c>
      <c r="H72" s="7">
        <f>$B$7</f>
        <v/>
      </c>
      <c r="I72" s="5">
        <f>G72*H72</f>
        <v/>
      </c>
      <c r="J72" s="5">
        <f>E72*F72</f>
        <v/>
      </c>
    </row>
    <row r="73">
      <c r="A73" t="n">
        <v>6</v>
      </c>
      <c r="B73" t="n">
        <v>4</v>
      </c>
      <c r="C73" t="n">
        <v>67</v>
      </c>
      <c r="D73" s="10" t="n">
        <v>0.8</v>
      </c>
      <c r="E73" s="14">
        <f>C73*D73</f>
        <v/>
      </c>
      <c r="F73" s="14">
        <f>E73*$B$4</f>
        <v/>
      </c>
      <c r="G73" s="15">
        <f>F73*4.3</f>
        <v/>
      </c>
      <c r="H73" s="7">
        <f>$B$7</f>
        <v/>
      </c>
      <c r="I73" s="5">
        <f>G73*H73</f>
        <v/>
      </c>
      <c r="J73" s="5">
        <f>E73*F73</f>
        <v/>
      </c>
    </row>
    <row r="74">
      <c r="A74" t="n">
        <v>6</v>
      </c>
      <c r="B74" t="n">
        <v>5</v>
      </c>
      <c r="C74" t="n">
        <v>67</v>
      </c>
      <c r="D74" s="10" t="n">
        <v>0.8</v>
      </c>
      <c r="E74" s="14">
        <f>C74*D74</f>
        <v/>
      </c>
      <c r="F74" s="14">
        <f>E74*$B$4</f>
        <v/>
      </c>
      <c r="G74" s="15">
        <f>F74*4.3</f>
        <v/>
      </c>
      <c r="H74" s="7">
        <f>$B$7</f>
        <v/>
      </c>
      <c r="I74" s="5">
        <f>G74*H74</f>
        <v/>
      </c>
      <c r="J74" s="5">
        <f>E74*F74</f>
        <v/>
      </c>
    </row>
    <row r="75">
      <c r="A75" t="n">
        <v>6</v>
      </c>
      <c r="B75" t="n">
        <v>6</v>
      </c>
      <c r="C75" t="n">
        <v>67</v>
      </c>
      <c r="D75" s="10" t="n">
        <v>0.8</v>
      </c>
      <c r="E75" s="14">
        <f>C75*D75</f>
        <v/>
      </c>
      <c r="F75" s="14">
        <f>E75*$B$4</f>
        <v/>
      </c>
      <c r="G75" s="15">
        <f>F75*4.3</f>
        <v/>
      </c>
      <c r="H75" s="7">
        <f>$B$7</f>
        <v/>
      </c>
      <c r="I75" s="5">
        <f>G75*H75</f>
        <v/>
      </c>
      <c r="J75" s="5">
        <f>E75*F75</f>
        <v/>
      </c>
    </row>
    <row r="76">
      <c r="A76" t="n">
        <v>6</v>
      </c>
      <c r="B76" t="n">
        <v>7</v>
      </c>
      <c r="C76" t="n">
        <v>67</v>
      </c>
      <c r="D76" s="10" t="n">
        <v>0.8</v>
      </c>
      <c r="E76" s="14">
        <f>C76*D76</f>
        <v/>
      </c>
      <c r="F76" s="14">
        <f>E76*$B$4</f>
        <v/>
      </c>
      <c r="G76" s="15">
        <f>F76*4.3</f>
        <v/>
      </c>
      <c r="H76" s="7">
        <f>$B$7</f>
        <v/>
      </c>
      <c r="I76" s="5">
        <f>G76*H76</f>
        <v/>
      </c>
      <c r="J76" s="5">
        <f>E76*F76</f>
        <v/>
      </c>
    </row>
    <row r="77">
      <c r="A77" t="n">
        <v>6</v>
      </c>
      <c r="B77" t="n">
        <v>8</v>
      </c>
      <c r="C77" t="n">
        <v>67</v>
      </c>
      <c r="D77" s="10" t="n">
        <v>0.8</v>
      </c>
      <c r="E77" s="14">
        <f>C77*D77</f>
        <v/>
      </c>
      <c r="F77" s="14">
        <f>E77*$B$4</f>
        <v/>
      </c>
      <c r="G77" s="15">
        <f>F77*4.3</f>
        <v/>
      </c>
      <c r="H77" s="7">
        <f>$B$7</f>
        <v/>
      </c>
      <c r="I77" s="5">
        <f>G77*H77</f>
        <v/>
      </c>
      <c r="J77" s="5">
        <f>E77*F77</f>
        <v/>
      </c>
    </row>
    <row r="78">
      <c r="A78" t="n">
        <v>6</v>
      </c>
      <c r="B78" t="n">
        <v>9</v>
      </c>
      <c r="C78" t="n">
        <v>67</v>
      </c>
      <c r="D78" s="10" t="n">
        <v>0.8</v>
      </c>
      <c r="E78" s="14">
        <f>C78*D78</f>
        <v/>
      </c>
      <c r="F78" s="14">
        <f>E78*$B$4</f>
        <v/>
      </c>
      <c r="G78" s="15">
        <f>F78*4.3</f>
        <v/>
      </c>
      <c r="H78" s="7">
        <f>$B$7</f>
        <v/>
      </c>
      <c r="I78" s="5">
        <f>G78*H78</f>
        <v/>
      </c>
      <c r="J78" s="5">
        <f>E78*F78</f>
        <v/>
      </c>
    </row>
    <row r="79">
      <c r="A79" t="n">
        <v>6</v>
      </c>
      <c r="B79" t="n">
        <v>10</v>
      </c>
      <c r="C79" t="n">
        <v>67</v>
      </c>
      <c r="D79" s="10" t="n">
        <v>0.8</v>
      </c>
      <c r="E79" s="14">
        <f>C79*D79</f>
        <v/>
      </c>
      <c r="F79" s="14">
        <f>E79*$B$4</f>
        <v/>
      </c>
      <c r="G79" s="15">
        <f>F79*4.3</f>
        <v/>
      </c>
      <c r="H79" s="7">
        <f>$B$7</f>
        <v/>
      </c>
      <c r="I79" s="5">
        <f>G79*H79</f>
        <v/>
      </c>
      <c r="J79" s="5">
        <f>E79*F79</f>
        <v/>
      </c>
    </row>
    <row r="80">
      <c r="A80" t="n">
        <v>6</v>
      </c>
      <c r="B80" t="n">
        <v>11</v>
      </c>
      <c r="C80" t="n">
        <v>67</v>
      </c>
      <c r="D80" s="10" t="n">
        <v>0.8</v>
      </c>
      <c r="E80" s="14">
        <f>C80*D80</f>
        <v/>
      </c>
      <c r="F80" s="14">
        <f>E80*$B$4</f>
        <v/>
      </c>
      <c r="G80" s="15">
        <f>F80*4.3</f>
        <v/>
      </c>
      <c r="H80" s="7">
        <f>$B$7</f>
        <v/>
      </c>
      <c r="I80" s="5">
        <f>G80*H80</f>
        <v/>
      </c>
      <c r="J80" s="5">
        <f>E80*F80</f>
        <v/>
      </c>
    </row>
    <row r="81">
      <c r="A81" t="n">
        <v>6</v>
      </c>
      <c r="B81" t="n">
        <v>12</v>
      </c>
      <c r="C81" t="n">
        <v>67</v>
      </c>
      <c r="D81" s="10" t="n">
        <v>0.8</v>
      </c>
      <c r="E81" s="14">
        <f>C81*D81</f>
        <v/>
      </c>
      <c r="F81" s="14">
        <f>E81*$B$4</f>
        <v/>
      </c>
      <c r="G81" s="15">
        <f>F81*4.3</f>
        <v/>
      </c>
      <c r="H81" s="7">
        <f>$B$7</f>
        <v/>
      </c>
      <c r="I81" s="5">
        <f>G81*H81</f>
        <v/>
      </c>
      <c r="J81" s="5">
        <f>E81*F81</f>
        <v/>
      </c>
    </row>
    <row r="82">
      <c r="A82" t="n">
        <v>7</v>
      </c>
      <c r="B82" t="n">
        <v>1</v>
      </c>
      <c r="C82" t="n">
        <v>67</v>
      </c>
      <c r="D82" s="10" t="n">
        <v>0.8</v>
      </c>
      <c r="E82" s="14">
        <f>C82*D82</f>
        <v/>
      </c>
      <c r="F82" s="14">
        <f>E82*$B$4</f>
        <v/>
      </c>
      <c r="G82" s="15">
        <f>F82*4.3</f>
        <v/>
      </c>
      <c r="H82" s="7">
        <f>$B$7</f>
        <v/>
      </c>
      <c r="I82" s="5">
        <f>G82*H82</f>
        <v/>
      </c>
      <c r="J82" s="5">
        <f>E82*F82</f>
        <v/>
      </c>
    </row>
    <row r="83">
      <c r="A83" t="n">
        <v>7</v>
      </c>
      <c r="B83" t="n">
        <v>2</v>
      </c>
      <c r="C83" t="n">
        <v>67</v>
      </c>
      <c r="D83" s="10" t="n">
        <v>0.8</v>
      </c>
      <c r="E83" s="14">
        <f>C83*D83</f>
        <v/>
      </c>
      <c r="F83" s="14">
        <f>E83*$B$4</f>
        <v/>
      </c>
      <c r="G83" s="15">
        <f>F83*4.3</f>
        <v/>
      </c>
      <c r="H83" s="7">
        <f>$B$7</f>
        <v/>
      </c>
      <c r="I83" s="5">
        <f>G83*H83</f>
        <v/>
      </c>
      <c r="J83" s="5">
        <f>E83*F83</f>
        <v/>
      </c>
    </row>
    <row r="84">
      <c r="A84" t="n">
        <v>7</v>
      </c>
      <c r="B84" t="n">
        <v>3</v>
      </c>
      <c r="C84" t="n">
        <v>67</v>
      </c>
      <c r="D84" s="10" t="n">
        <v>0.8</v>
      </c>
      <c r="E84" s="14">
        <f>C84*D84</f>
        <v/>
      </c>
      <c r="F84" s="14">
        <f>E84*$B$4</f>
        <v/>
      </c>
      <c r="G84" s="15">
        <f>F84*4.3</f>
        <v/>
      </c>
      <c r="H84" s="7">
        <f>$B$7</f>
        <v/>
      </c>
      <c r="I84" s="5">
        <f>G84*H84</f>
        <v/>
      </c>
      <c r="J84" s="5">
        <f>E84*F84</f>
        <v/>
      </c>
    </row>
    <row r="85">
      <c r="A85" t="n">
        <v>7</v>
      </c>
      <c r="B85" t="n">
        <v>4</v>
      </c>
      <c r="C85" t="n">
        <v>67</v>
      </c>
      <c r="D85" s="10" t="n">
        <v>0.8</v>
      </c>
      <c r="E85" s="14">
        <f>C85*D85</f>
        <v/>
      </c>
      <c r="F85" s="14">
        <f>E85*$B$4</f>
        <v/>
      </c>
      <c r="G85" s="15">
        <f>F85*4.3</f>
        <v/>
      </c>
      <c r="H85" s="7">
        <f>$B$7</f>
        <v/>
      </c>
      <c r="I85" s="5">
        <f>G85*H85</f>
        <v/>
      </c>
      <c r="J85" s="5">
        <f>E85*F85</f>
        <v/>
      </c>
    </row>
    <row r="86">
      <c r="A86" t="n">
        <v>7</v>
      </c>
      <c r="B86" t="n">
        <v>5</v>
      </c>
      <c r="C86" t="n">
        <v>67</v>
      </c>
      <c r="D86" s="10" t="n">
        <v>0.8</v>
      </c>
      <c r="E86" s="14">
        <f>C86*D86</f>
        <v/>
      </c>
      <c r="F86" s="14">
        <f>E86*$B$4</f>
        <v/>
      </c>
      <c r="G86" s="15">
        <f>F86*4.3</f>
        <v/>
      </c>
      <c r="H86" s="7">
        <f>$B$7</f>
        <v/>
      </c>
      <c r="I86" s="5">
        <f>G86*H86</f>
        <v/>
      </c>
      <c r="J86" s="5">
        <f>E86*F86</f>
        <v/>
      </c>
    </row>
    <row r="87">
      <c r="A87" t="n">
        <v>7</v>
      </c>
      <c r="B87" t="n">
        <v>6</v>
      </c>
      <c r="C87" t="n">
        <v>67</v>
      </c>
      <c r="D87" s="10" t="n">
        <v>0.8</v>
      </c>
      <c r="E87" s="14">
        <f>C87*D87</f>
        <v/>
      </c>
      <c r="F87" s="14">
        <f>E87*$B$4</f>
        <v/>
      </c>
      <c r="G87" s="15">
        <f>F87*4.3</f>
        <v/>
      </c>
      <c r="H87" s="7">
        <f>$B$7</f>
        <v/>
      </c>
      <c r="I87" s="5">
        <f>G87*H87</f>
        <v/>
      </c>
      <c r="J87" s="5">
        <f>E87*F87</f>
        <v/>
      </c>
    </row>
    <row r="88">
      <c r="A88" t="n">
        <v>7</v>
      </c>
      <c r="B88" t="n">
        <v>7</v>
      </c>
      <c r="C88" t="n">
        <v>67</v>
      </c>
      <c r="D88" s="10" t="n">
        <v>0.8</v>
      </c>
      <c r="E88" s="14">
        <f>C88*D88</f>
        <v/>
      </c>
      <c r="F88" s="14">
        <f>E88*$B$4</f>
        <v/>
      </c>
      <c r="G88" s="15">
        <f>F88*4.3</f>
        <v/>
      </c>
      <c r="H88" s="7">
        <f>$B$7</f>
        <v/>
      </c>
      <c r="I88" s="5">
        <f>G88*H88</f>
        <v/>
      </c>
      <c r="J88" s="5">
        <f>E88*F88</f>
        <v/>
      </c>
    </row>
    <row r="89">
      <c r="A89" t="n">
        <v>7</v>
      </c>
      <c r="B89" t="n">
        <v>8</v>
      </c>
      <c r="C89" t="n">
        <v>67</v>
      </c>
      <c r="D89" s="10" t="n">
        <v>0.8</v>
      </c>
      <c r="E89" s="14">
        <f>C89*D89</f>
        <v/>
      </c>
      <c r="F89" s="14">
        <f>E89*$B$4</f>
        <v/>
      </c>
      <c r="G89" s="15">
        <f>F89*4.3</f>
        <v/>
      </c>
      <c r="H89" s="7">
        <f>$B$7</f>
        <v/>
      </c>
      <c r="I89" s="5">
        <f>G89*H89</f>
        <v/>
      </c>
      <c r="J89" s="5">
        <f>E89*F89</f>
        <v/>
      </c>
    </row>
    <row r="90">
      <c r="A90" t="n">
        <v>7</v>
      </c>
      <c r="B90" t="n">
        <v>9</v>
      </c>
      <c r="C90" t="n">
        <v>67</v>
      </c>
      <c r="D90" s="10" t="n">
        <v>0.8</v>
      </c>
      <c r="E90" s="14">
        <f>C90*D90</f>
        <v/>
      </c>
      <c r="F90" s="14">
        <f>E90*$B$4</f>
        <v/>
      </c>
      <c r="G90" s="15">
        <f>F90*4.3</f>
        <v/>
      </c>
      <c r="H90" s="7">
        <f>$B$7</f>
        <v/>
      </c>
      <c r="I90" s="5">
        <f>G90*H90</f>
        <v/>
      </c>
      <c r="J90" s="5">
        <f>E90*F90</f>
        <v/>
      </c>
    </row>
    <row r="91">
      <c r="A91" t="n">
        <v>7</v>
      </c>
      <c r="B91" t="n">
        <v>10</v>
      </c>
      <c r="C91" t="n">
        <v>67</v>
      </c>
      <c r="D91" s="10" t="n">
        <v>0.8</v>
      </c>
      <c r="E91" s="14">
        <f>C91*D91</f>
        <v/>
      </c>
      <c r="F91" s="14">
        <f>E91*$B$4</f>
        <v/>
      </c>
      <c r="G91" s="15">
        <f>F91*4.3</f>
        <v/>
      </c>
      <c r="H91" s="7">
        <f>$B$7</f>
        <v/>
      </c>
      <c r="I91" s="5">
        <f>G91*H91</f>
        <v/>
      </c>
      <c r="J91" s="5">
        <f>E91*F91</f>
        <v/>
      </c>
    </row>
    <row r="92">
      <c r="A92" t="n">
        <v>7</v>
      </c>
      <c r="B92" t="n">
        <v>11</v>
      </c>
      <c r="C92" t="n">
        <v>67</v>
      </c>
      <c r="D92" s="10" t="n">
        <v>0.8</v>
      </c>
      <c r="E92" s="14">
        <f>C92*D92</f>
        <v/>
      </c>
      <c r="F92" s="14">
        <f>E92*$B$4</f>
        <v/>
      </c>
      <c r="G92" s="15">
        <f>F92*4.3</f>
        <v/>
      </c>
      <c r="H92" s="7">
        <f>$B$7</f>
        <v/>
      </c>
      <c r="I92" s="5">
        <f>G92*H92</f>
        <v/>
      </c>
      <c r="J92" s="5">
        <f>E92*F92</f>
        <v/>
      </c>
    </row>
    <row r="93">
      <c r="A93" t="n">
        <v>7</v>
      </c>
      <c r="B93" t="n">
        <v>12</v>
      </c>
      <c r="C93" t="n">
        <v>67</v>
      </c>
      <c r="D93" s="10" t="n">
        <v>0.8</v>
      </c>
      <c r="E93" s="14">
        <f>C93*D93</f>
        <v/>
      </c>
      <c r="F93" s="14">
        <f>E93*$B$4</f>
        <v/>
      </c>
      <c r="G93" s="15">
        <f>F93*4.3</f>
        <v/>
      </c>
      <c r="H93" s="7">
        <f>$B$7</f>
        <v/>
      </c>
      <c r="I93" s="5">
        <f>G93*H93</f>
        <v/>
      </c>
      <c r="J93" s="5">
        <f>E93*F93</f>
        <v/>
      </c>
    </row>
    <row r="94">
      <c r="A94" t="n">
        <v>8</v>
      </c>
      <c r="B94" t="n">
        <v>1</v>
      </c>
      <c r="C94" t="n">
        <v>67</v>
      </c>
      <c r="D94" s="10" t="n">
        <v>0.8</v>
      </c>
      <c r="E94" s="14">
        <f>C94*D94</f>
        <v/>
      </c>
      <c r="F94" s="14">
        <f>E94*$B$4</f>
        <v/>
      </c>
      <c r="G94" s="15">
        <f>F94*4.3</f>
        <v/>
      </c>
      <c r="H94" s="7">
        <f>$B$7</f>
        <v/>
      </c>
      <c r="I94" s="5">
        <f>G94*H94</f>
        <v/>
      </c>
      <c r="J94" s="5">
        <f>E94*F94</f>
        <v/>
      </c>
    </row>
    <row r="95">
      <c r="A95" t="n">
        <v>8</v>
      </c>
      <c r="B95" t="n">
        <v>2</v>
      </c>
      <c r="C95" t="n">
        <v>67</v>
      </c>
      <c r="D95" s="10" t="n">
        <v>0.8</v>
      </c>
      <c r="E95" s="14">
        <f>C95*D95</f>
        <v/>
      </c>
      <c r="F95" s="14">
        <f>E95*$B$4</f>
        <v/>
      </c>
      <c r="G95" s="15">
        <f>F95*4.3</f>
        <v/>
      </c>
      <c r="H95" s="7">
        <f>$B$7</f>
        <v/>
      </c>
      <c r="I95" s="5">
        <f>G95*H95</f>
        <v/>
      </c>
      <c r="J95" s="5">
        <f>E95*F95</f>
        <v/>
      </c>
    </row>
    <row r="96">
      <c r="A96" t="n">
        <v>8</v>
      </c>
      <c r="B96" t="n">
        <v>3</v>
      </c>
      <c r="C96" t="n">
        <v>67</v>
      </c>
      <c r="D96" s="10" t="n">
        <v>0.8</v>
      </c>
      <c r="E96" s="14">
        <f>C96*D96</f>
        <v/>
      </c>
      <c r="F96" s="14">
        <f>E96*$B$4</f>
        <v/>
      </c>
      <c r="G96" s="15">
        <f>F96*4.3</f>
        <v/>
      </c>
      <c r="H96" s="7">
        <f>$B$7</f>
        <v/>
      </c>
      <c r="I96" s="5">
        <f>G96*H96</f>
        <v/>
      </c>
      <c r="J96" s="5">
        <f>E96*F96</f>
        <v/>
      </c>
    </row>
    <row r="97">
      <c r="A97" t="n">
        <v>8</v>
      </c>
      <c r="B97" t="n">
        <v>4</v>
      </c>
      <c r="C97" t="n">
        <v>67</v>
      </c>
      <c r="D97" s="10" t="n">
        <v>0.8</v>
      </c>
      <c r="E97" s="14">
        <f>C97*D97</f>
        <v/>
      </c>
      <c r="F97" s="14">
        <f>E97*$B$4</f>
        <v/>
      </c>
      <c r="G97" s="15">
        <f>F97*4.3</f>
        <v/>
      </c>
      <c r="H97" s="7">
        <f>$B$7</f>
        <v/>
      </c>
      <c r="I97" s="5">
        <f>G97*H97</f>
        <v/>
      </c>
      <c r="J97" s="5">
        <f>E97*F97</f>
        <v/>
      </c>
    </row>
    <row r="98">
      <c r="A98" t="n">
        <v>8</v>
      </c>
      <c r="B98" t="n">
        <v>5</v>
      </c>
      <c r="C98" t="n">
        <v>67</v>
      </c>
      <c r="D98" s="10" t="n">
        <v>0.8</v>
      </c>
      <c r="E98" s="14">
        <f>C98*D98</f>
        <v/>
      </c>
      <c r="F98" s="14">
        <f>E98*$B$4</f>
        <v/>
      </c>
      <c r="G98" s="15">
        <f>F98*4.3</f>
        <v/>
      </c>
      <c r="H98" s="7">
        <f>$B$7</f>
        <v/>
      </c>
      <c r="I98" s="5">
        <f>G98*H98</f>
        <v/>
      </c>
      <c r="J98" s="5">
        <f>E98*F98</f>
        <v/>
      </c>
    </row>
    <row r="99">
      <c r="A99" t="n">
        <v>8</v>
      </c>
      <c r="B99" t="n">
        <v>6</v>
      </c>
      <c r="C99" t="n">
        <v>67</v>
      </c>
      <c r="D99" s="10" t="n">
        <v>0.8</v>
      </c>
      <c r="E99" s="14">
        <f>C99*D99</f>
        <v/>
      </c>
      <c r="F99" s="14">
        <f>E99*$B$4</f>
        <v/>
      </c>
      <c r="G99" s="15">
        <f>F99*4.3</f>
        <v/>
      </c>
      <c r="H99" s="7">
        <f>$B$7</f>
        <v/>
      </c>
      <c r="I99" s="5">
        <f>G99*H99</f>
        <v/>
      </c>
      <c r="J99" s="5">
        <f>E99*F99</f>
        <v/>
      </c>
    </row>
    <row r="100">
      <c r="A100" t="n">
        <v>8</v>
      </c>
      <c r="B100" t="n">
        <v>7</v>
      </c>
      <c r="C100" t="n">
        <v>67</v>
      </c>
      <c r="D100" s="10" t="n">
        <v>0.8</v>
      </c>
      <c r="E100" s="14">
        <f>C100*D100</f>
        <v/>
      </c>
      <c r="F100" s="14">
        <f>E100*$B$4</f>
        <v/>
      </c>
      <c r="G100" s="15">
        <f>F100*4.3</f>
        <v/>
      </c>
      <c r="H100" s="7">
        <f>$B$7</f>
        <v/>
      </c>
      <c r="I100" s="5">
        <f>G100*H100</f>
        <v/>
      </c>
      <c r="J100" s="5">
        <f>E100*F100</f>
        <v/>
      </c>
    </row>
    <row r="101">
      <c r="A101" t="n">
        <v>8</v>
      </c>
      <c r="B101" t="n">
        <v>8</v>
      </c>
      <c r="C101" t="n">
        <v>67</v>
      </c>
      <c r="D101" s="10" t="n">
        <v>0.8</v>
      </c>
      <c r="E101" s="14">
        <f>C101*D101</f>
        <v/>
      </c>
      <c r="F101" s="14">
        <f>E101*$B$4</f>
        <v/>
      </c>
      <c r="G101" s="15">
        <f>F101*4.3</f>
        <v/>
      </c>
      <c r="H101" s="7">
        <f>$B$7</f>
        <v/>
      </c>
      <c r="I101" s="5">
        <f>G101*H101</f>
        <v/>
      </c>
      <c r="J101" s="5">
        <f>E101*F101</f>
        <v/>
      </c>
    </row>
    <row r="102">
      <c r="A102" t="n">
        <v>8</v>
      </c>
      <c r="B102" t="n">
        <v>9</v>
      </c>
      <c r="C102" t="n">
        <v>67</v>
      </c>
      <c r="D102" s="10" t="n">
        <v>0.8</v>
      </c>
      <c r="E102" s="14">
        <f>C102*D102</f>
        <v/>
      </c>
      <c r="F102" s="14">
        <f>E102*$B$4</f>
        <v/>
      </c>
      <c r="G102" s="15">
        <f>F102*4.3</f>
        <v/>
      </c>
      <c r="H102" s="7">
        <f>$B$7</f>
        <v/>
      </c>
      <c r="I102" s="5">
        <f>G102*H102</f>
        <v/>
      </c>
      <c r="J102" s="5">
        <f>E102*F102</f>
        <v/>
      </c>
    </row>
    <row r="103">
      <c r="A103" t="n">
        <v>8</v>
      </c>
      <c r="B103" t="n">
        <v>10</v>
      </c>
      <c r="C103" t="n">
        <v>67</v>
      </c>
      <c r="D103" s="10" t="n">
        <v>0.8</v>
      </c>
      <c r="E103" s="14">
        <f>C103*D103</f>
        <v/>
      </c>
      <c r="F103" s="14">
        <f>E103*$B$4</f>
        <v/>
      </c>
      <c r="G103" s="15">
        <f>F103*4.3</f>
        <v/>
      </c>
      <c r="H103" s="7">
        <f>$B$7</f>
        <v/>
      </c>
      <c r="I103" s="5">
        <f>G103*H103</f>
        <v/>
      </c>
      <c r="J103" s="5">
        <f>E103*F103</f>
        <v/>
      </c>
    </row>
    <row r="104">
      <c r="A104" t="n">
        <v>8</v>
      </c>
      <c r="B104" t="n">
        <v>11</v>
      </c>
      <c r="C104" t="n">
        <v>67</v>
      </c>
      <c r="D104" s="10" t="n">
        <v>0.8</v>
      </c>
      <c r="E104" s="14">
        <f>C104*D104</f>
        <v/>
      </c>
      <c r="F104" s="14">
        <f>E104*$B$4</f>
        <v/>
      </c>
      <c r="G104" s="15">
        <f>F104*4.3</f>
        <v/>
      </c>
      <c r="H104" s="7">
        <f>$B$7</f>
        <v/>
      </c>
      <c r="I104" s="5">
        <f>G104*H104</f>
        <v/>
      </c>
      <c r="J104" s="5">
        <f>E104*F104</f>
        <v/>
      </c>
    </row>
    <row r="105">
      <c r="A105" t="n">
        <v>8</v>
      </c>
      <c r="B105" t="n">
        <v>12</v>
      </c>
      <c r="C105" t="n">
        <v>67</v>
      </c>
      <c r="D105" s="10" t="n">
        <v>0.8</v>
      </c>
      <c r="E105" s="14">
        <f>C105*D105</f>
        <v/>
      </c>
      <c r="F105" s="14">
        <f>E105*$B$4</f>
        <v/>
      </c>
      <c r="G105" s="15">
        <f>F105*4.3</f>
        <v/>
      </c>
      <c r="H105" s="7">
        <f>$B$7</f>
        <v/>
      </c>
      <c r="I105" s="5">
        <f>G105*H105</f>
        <v/>
      </c>
      <c r="J105" s="5">
        <f>E105*F105</f>
        <v/>
      </c>
    </row>
    <row r="106">
      <c r="A106" t="n">
        <v>9</v>
      </c>
      <c r="B106" t="n">
        <v>1</v>
      </c>
      <c r="C106" t="n">
        <v>67</v>
      </c>
      <c r="D106" s="10" t="n">
        <v>0.8</v>
      </c>
      <c r="E106" s="14">
        <f>C106*D106</f>
        <v/>
      </c>
      <c r="F106" s="14">
        <f>E106*$B$4</f>
        <v/>
      </c>
      <c r="G106" s="15">
        <f>F106*4.3</f>
        <v/>
      </c>
      <c r="H106" s="7">
        <f>$B$7</f>
        <v/>
      </c>
      <c r="I106" s="5">
        <f>G106*H106</f>
        <v/>
      </c>
      <c r="J106" s="5">
        <f>E106*F106</f>
        <v/>
      </c>
    </row>
    <row r="107">
      <c r="A107" t="n">
        <v>9</v>
      </c>
      <c r="B107" t="n">
        <v>2</v>
      </c>
      <c r="C107" t="n">
        <v>67</v>
      </c>
      <c r="D107" s="10" t="n">
        <v>0.8</v>
      </c>
      <c r="E107" s="14">
        <f>C107*D107</f>
        <v/>
      </c>
      <c r="F107" s="14">
        <f>E107*$B$4</f>
        <v/>
      </c>
      <c r="G107" s="15">
        <f>F107*4.3</f>
        <v/>
      </c>
      <c r="H107" s="7">
        <f>$B$7</f>
        <v/>
      </c>
      <c r="I107" s="5">
        <f>G107*H107</f>
        <v/>
      </c>
      <c r="J107" s="5">
        <f>E107*F107</f>
        <v/>
      </c>
    </row>
    <row r="108">
      <c r="A108" t="n">
        <v>9</v>
      </c>
      <c r="B108" t="n">
        <v>3</v>
      </c>
      <c r="C108" t="n">
        <v>67</v>
      </c>
      <c r="D108" s="10" t="n">
        <v>0.8</v>
      </c>
      <c r="E108" s="14">
        <f>C108*D108</f>
        <v/>
      </c>
      <c r="F108" s="14">
        <f>E108*$B$4</f>
        <v/>
      </c>
      <c r="G108" s="15">
        <f>F108*4.3</f>
        <v/>
      </c>
      <c r="H108" s="7">
        <f>$B$7</f>
        <v/>
      </c>
      <c r="I108" s="5">
        <f>G108*H108</f>
        <v/>
      </c>
      <c r="J108" s="5">
        <f>E108*F108</f>
        <v/>
      </c>
    </row>
    <row r="109">
      <c r="A109" t="n">
        <v>9</v>
      </c>
      <c r="B109" t="n">
        <v>4</v>
      </c>
      <c r="C109" t="n">
        <v>67</v>
      </c>
      <c r="D109" s="10" t="n">
        <v>0.8</v>
      </c>
      <c r="E109" s="14">
        <f>C109*D109</f>
        <v/>
      </c>
      <c r="F109" s="14">
        <f>E109*$B$4</f>
        <v/>
      </c>
      <c r="G109" s="15">
        <f>F109*4.3</f>
        <v/>
      </c>
      <c r="H109" s="7">
        <f>$B$7</f>
        <v/>
      </c>
      <c r="I109" s="5">
        <f>G109*H109</f>
        <v/>
      </c>
      <c r="J109" s="5">
        <f>E109*F109</f>
        <v/>
      </c>
    </row>
    <row r="110">
      <c r="A110" t="n">
        <v>9</v>
      </c>
      <c r="B110" t="n">
        <v>5</v>
      </c>
      <c r="C110" t="n">
        <v>67</v>
      </c>
      <c r="D110" s="10" t="n">
        <v>0.8</v>
      </c>
      <c r="E110" s="14">
        <f>C110*D110</f>
        <v/>
      </c>
      <c r="F110" s="14">
        <f>E110*$B$4</f>
        <v/>
      </c>
      <c r="G110" s="15">
        <f>F110*4.3</f>
        <v/>
      </c>
      <c r="H110" s="7">
        <f>$B$7</f>
        <v/>
      </c>
      <c r="I110" s="5">
        <f>G110*H110</f>
        <v/>
      </c>
      <c r="J110" s="5">
        <f>E110*F110</f>
        <v/>
      </c>
    </row>
    <row r="111">
      <c r="A111" t="n">
        <v>9</v>
      </c>
      <c r="B111" t="n">
        <v>6</v>
      </c>
      <c r="C111" t="n">
        <v>67</v>
      </c>
      <c r="D111" s="10" t="n">
        <v>0.8</v>
      </c>
      <c r="E111" s="14">
        <f>C111*D111</f>
        <v/>
      </c>
      <c r="F111" s="14">
        <f>E111*$B$4</f>
        <v/>
      </c>
      <c r="G111" s="15">
        <f>F111*4.3</f>
        <v/>
      </c>
      <c r="H111" s="7">
        <f>$B$7</f>
        <v/>
      </c>
      <c r="I111" s="5">
        <f>G111*H111</f>
        <v/>
      </c>
      <c r="J111" s="5">
        <f>E111*F111</f>
        <v/>
      </c>
    </row>
    <row r="112">
      <c r="A112" t="n">
        <v>9</v>
      </c>
      <c r="B112" t="n">
        <v>7</v>
      </c>
      <c r="C112" t="n">
        <v>67</v>
      </c>
      <c r="D112" s="10" t="n">
        <v>0.8</v>
      </c>
      <c r="E112" s="14">
        <f>C112*D112</f>
        <v/>
      </c>
      <c r="F112" s="14">
        <f>E112*$B$4</f>
        <v/>
      </c>
      <c r="G112" s="15">
        <f>F112*4.3</f>
        <v/>
      </c>
      <c r="H112" s="7">
        <f>$B$7</f>
        <v/>
      </c>
      <c r="I112" s="5">
        <f>G112*H112</f>
        <v/>
      </c>
      <c r="J112" s="5">
        <f>E112*F112</f>
        <v/>
      </c>
    </row>
    <row r="113">
      <c r="A113" t="n">
        <v>9</v>
      </c>
      <c r="B113" t="n">
        <v>8</v>
      </c>
      <c r="C113" t="n">
        <v>67</v>
      </c>
      <c r="D113" s="10" t="n">
        <v>0.8</v>
      </c>
      <c r="E113" s="14">
        <f>C113*D113</f>
        <v/>
      </c>
      <c r="F113" s="14">
        <f>E113*$B$4</f>
        <v/>
      </c>
      <c r="G113" s="15">
        <f>F113*4.3</f>
        <v/>
      </c>
      <c r="H113" s="7">
        <f>$B$7</f>
        <v/>
      </c>
      <c r="I113" s="5">
        <f>G113*H113</f>
        <v/>
      </c>
      <c r="J113" s="5">
        <f>E113*F113</f>
        <v/>
      </c>
    </row>
    <row r="114">
      <c r="A114" t="n">
        <v>9</v>
      </c>
      <c r="B114" t="n">
        <v>9</v>
      </c>
      <c r="C114" t="n">
        <v>67</v>
      </c>
      <c r="D114" s="10" t="n">
        <v>0.8</v>
      </c>
      <c r="E114" s="14">
        <f>C114*D114</f>
        <v/>
      </c>
      <c r="F114" s="14">
        <f>E114*$B$4</f>
        <v/>
      </c>
      <c r="G114" s="15">
        <f>F114*4.3</f>
        <v/>
      </c>
      <c r="H114" s="7">
        <f>$B$7</f>
        <v/>
      </c>
      <c r="I114" s="5">
        <f>G114*H114</f>
        <v/>
      </c>
      <c r="J114" s="5">
        <f>E114*F114</f>
        <v/>
      </c>
    </row>
    <row r="115">
      <c r="A115" t="n">
        <v>9</v>
      </c>
      <c r="B115" t="n">
        <v>10</v>
      </c>
      <c r="C115" t="n">
        <v>67</v>
      </c>
      <c r="D115" s="10" t="n">
        <v>0.8</v>
      </c>
      <c r="E115" s="14">
        <f>C115*D115</f>
        <v/>
      </c>
      <c r="F115" s="14">
        <f>E115*$B$4</f>
        <v/>
      </c>
      <c r="G115" s="15">
        <f>F115*4.3</f>
        <v/>
      </c>
      <c r="H115" s="7">
        <f>$B$7</f>
        <v/>
      </c>
      <c r="I115" s="5">
        <f>G115*H115</f>
        <v/>
      </c>
      <c r="J115" s="5">
        <f>E115*F115</f>
        <v/>
      </c>
    </row>
    <row r="116">
      <c r="A116" t="n">
        <v>9</v>
      </c>
      <c r="B116" t="n">
        <v>11</v>
      </c>
      <c r="C116" t="n">
        <v>67</v>
      </c>
      <c r="D116" s="10" t="n">
        <v>0.8</v>
      </c>
      <c r="E116" s="14">
        <f>C116*D116</f>
        <v/>
      </c>
      <c r="F116" s="14">
        <f>E116*$B$4</f>
        <v/>
      </c>
      <c r="G116" s="15">
        <f>F116*4.3</f>
        <v/>
      </c>
      <c r="H116" s="7">
        <f>$B$7</f>
        <v/>
      </c>
      <c r="I116" s="5">
        <f>G116*H116</f>
        <v/>
      </c>
      <c r="J116" s="5">
        <f>E116*F116</f>
        <v/>
      </c>
    </row>
    <row r="117">
      <c r="A117" t="n">
        <v>9</v>
      </c>
      <c r="B117" t="n">
        <v>12</v>
      </c>
      <c r="C117" t="n">
        <v>67</v>
      </c>
      <c r="D117" s="10" t="n">
        <v>0.8</v>
      </c>
      <c r="E117" s="14">
        <f>C117*D117</f>
        <v/>
      </c>
      <c r="F117" s="14">
        <f>E117*$B$4</f>
        <v/>
      </c>
      <c r="G117" s="15">
        <f>F117*4.3</f>
        <v/>
      </c>
      <c r="H117" s="7">
        <f>$B$7</f>
        <v/>
      </c>
      <c r="I117" s="5">
        <f>G117*H117</f>
        <v/>
      </c>
      <c r="J117" s="5">
        <f>E117*F117</f>
        <v/>
      </c>
    </row>
    <row r="118">
      <c r="A118" t="n">
        <v>10</v>
      </c>
      <c r="B118" t="n">
        <v>1</v>
      </c>
      <c r="C118" t="n">
        <v>67</v>
      </c>
      <c r="D118" s="10" t="n">
        <v>0.8</v>
      </c>
      <c r="E118" s="14">
        <f>C118*D118</f>
        <v/>
      </c>
      <c r="F118" s="14">
        <f>E118*$B$4</f>
        <v/>
      </c>
      <c r="G118" s="15">
        <f>F118*4.3</f>
        <v/>
      </c>
      <c r="H118" s="7">
        <f>$B$7</f>
        <v/>
      </c>
      <c r="I118" s="5">
        <f>G118*H118</f>
        <v/>
      </c>
      <c r="J118" s="5">
        <f>E118*F118</f>
        <v/>
      </c>
    </row>
    <row r="119">
      <c r="A119" t="n">
        <v>10</v>
      </c>
      <c r="B119" t="n">
        <v>2</v>
      </c>
      <c r="C119" t="n">
        <v>67</v>
      </c>
      <c r="D119" s="10" t="n">
        <v>0.8</v>
      </c>
      <c r="E119" s="14">
        <f>C119*D119</f>
        <v/>
      </c>
      <c r="F119" s="14">
        <f>E119*$B$4</f>
        <v/>
      </c>
      <c r="G119" s="15">
        <f>F119*4.3</f>
        <v/>
      </c>
      <c r="H119" s="7">
        <f>$B$7</f>
        <v/>
      </c>
      <c r="I119" s="5">
        <f>G119*H119</f>
        <v/>
      </c>
      <c r="J119" s="5">
        <f>E119*F119</f>
        <v/>
      </c>
    </row>
    <row r="120">
      <c r="A120" t="n">
        <v>10</v>
      </c>
      <c r="B120" t="n">
        <v>3</v>
      </c>
      <c r="C120" t="n">
        <v>67</v>
      </c>
      <c r="D120" s="10" t="n">
        <v>0.8</v>
      </c>
      <c r="E120" s="14">
        <f>C120*D120</f>
        <v/>
      </c>
      <c r="F120" s="14">
        <f>E120*$B$4</f>
        <v/>
      </c>
      <c r="G120" s="15">
        <f>F120*4.3</f>
        <v/>
      </c>
      <c r="H120" s="7">
        <f>$B$7</f>
        <v/>
      </c>
      <c r="I120" s="5">
        <f>G120*H120</f>
        <v/>
      </c>
      <c r="J120" s="5">
        <f>E120*F120</f>
        <v/>
      </c>
    </row>
    <row r="121">
      <c r="A121" t="n">
        <v>10</v>
      </c>
      <c r="B121" t="n">
        <v>4</v>
      </c>
      <c r="C121" t="n">
        <v>67</v>
      </c>
      <c r="D121" s="10" t="n">
        <v>0.8</v>
      </c>
      <c r="E121" s="14">
        <f>C121*D121</f>
        <v/>
      </c>
      <c r="F121" s="14">
        <f>E121*$B$4</f>
        <v/>
      </c>
      <c r="G121" s="15">
        <f>F121*4.3</f>
        <v/>
      </c>
      <c r="H121" s="7">
        <f>$B$7</f>
        <v/>
      </c>
      <c r="I121" s="5">
        <f>G121*H121</f>
        <v/>
      </c>
      <c r="J121" s="5">
        <f>E121*F121</f>
        <v/>
      </c>
    </row>
    <row r="122">
      <c r="A122" t="n">
        <v>10</v>
      </c>
      <c r="B122" t="n">
        <v>5</v>
      </c>
      <c r="C122" t="n">
        <v>67</v>
      </c>
      <c r="D122" s="10" t="n">
        <v>0.8</v>
      </c>
      <c r="E122" s="14">
        <f>C122*D122</f>
        <v/>
      </c>
      <c r="F122" s="14">
        <f>E122*$B$4</f>
        <v/>
      </c>
      <c r="G122" s="15">
        <f>F122*4.3</f>
        <v/>
      </c>
      <c r="H122" s="7">
        <f>$B$7</f>
        <v/>
      </c>
      <c r="I122" s="5">
        <f>G122*H122</f>
        <v/>
      </c>
      <c r="J122" s="5">
        <f>E122*F122</f>
        <v/>
      </c>
    </row>
    <row r="123">
      <c r="A123" t="n">
        <v>10</v>
      </c>
      <c r="B123" t="n">
        <v>6</v>
      </c>
      <c r="C123" t="n">
        <v>67</v>
      </c>
      <c r="D123" s="10" t="n">
        <v>0.8</v>
      </c>
      <c r="E123" s="14">
        <f>C123*D123</f>
        <v/>
      </c>
      <c r="F123" s="14">
        <f>E123*$B$4</f>
        <v/>
      </c>
      <c r="G123" s="15">
        <f>F123*4.3</f>
        <v/>
      </c>
      <c r="H123" s="7">
        <f>$B$7</f>
        <v/>
      </c>
      <c r="I123" s="5">
        <f>G123*H123</f>
        <v/>
      </c>
      <c r="J123" s="5">
        <f>E123*F123</f>
        <v/>
      </c>
    </row>
    <row r="124">
      <c r="A124" t="n">
        <v>10</v>
      </c>
      <c r="B124" t="n">
        <v>7</v>
      </c>
      <c r="C124" t="n">
        <v>67</v>
      </c>
      <c r="D124" s="10" t="n">
        <v>0.8</v>
      </c>
      <c r="E124" s="14">
        <f>C124*D124</f>
        <v/>
      </c>
      <c r="F124" s="14">
        <f>E124*$B$4</f>
        <v/>
      </c>
      <c r="G124" s="15">
        <f>F124*4.3</f>
        <v/>
      </c>
      <c r="H124" s="7">
        <f>$B$7</f>
        <v/>
      </c>
      <c r="I124" s="5">
        <f>G124*H124</f>
        <v/>
      </c>
      <c r="J124" s="5">
        <f>E124*F124</f>
        <v/>
      </c>
    </row>
    <row r="125">
      <c r="A125" t="n">
        <v>10</v>
      </c>
      <c r="B125" t="n">
        <v>8</v>
      </c>
      <c r="C125" t="n">
        <v>67</v>
      </c>
      <c r="D125" s="10" t="n">
        <v>0.8</v>
      </c>
      <c r="E125" s="14">
        <f>C125*D125</f>
        <v/>
      </c>
      <c r="F125" s="14">
        <f>E125*$B$4</f>
        <v/>
      </c>
      <c r="G125" s="15">
        <f>F125*4.3</f>
        <v/>
      </c>
      <c r="H125" s="7">
        <f>$B$7</f>
        <v/>
      </c>
      <c r="I125" s="5">
        <f>G125*H125</f>
        <v/>
      </c>
      <c r="J125" s="5">
        <f>E125*F125</f>
        <v/>
      </c>
    </row>
    <row r="126">
      <c r="A126" t="n">
        <v>10</v>
      </c>
      <c r="B126" t="n">
        <v>9</v>
      </c>
      <c r="C126" t="n">
        <v>67</v>
      </c>
      <c r="D126" s="10" t="n">
        <v>0.8</v>
      </c>
      <c r="E126" s="14">
        <f>C126*D126</f>
        <v/>
      </c>
      <c r="F126" s="14">
        <f>E126*$B$4</f>
        <v/>
      </c>
      <c r="G126" s="15">
        <f>F126*4.3</f>
        <v/>
      </c>
      <c r="H126" s="7">
        <f>$B$7</f>
        <v/>
      </c>
      <c r="I126" s="5">
        <f>G126*H126</f>
        <v/>
      </c>
      <c r="J126" s="5">
        <f>E126*F126</f>
        <v/>
      </c>
    </row>
    <row r="127">
      <c r="A127" t="n">
        <v>10</v>
      </c>
      <c r="B127" t="n">
        <v>10</v>
      </c>
      <c r="C127" t="n">
        <v>67</v>
      </c>
      <c r="D127" s="10" t="n">
        <v>0.8</v>
      </c>
      <c r="E127" s="14">
        <f>C127*D127</f>
        <v/>
      </c>
      <c r="F127" s="14">
        <f>E127*$B$4</f>
        <v/>
      </c>
      <c r="G127" s="15">
        <f>F127*4.3</f>
        <v/>
      </c>
      <c r="H127" s="7">
        <f>$B$7</f>
        <v/>
      </c>
      <c r="I127" s="5">
        <f>G127*H127</f>
        <v/>
      </c>
      <c r="J127" s="5">
        <f>E127*F127</f>
        <v/>
      </c>
    </row>
    <row r="128">
      <c r="A128" t="n">
        <v>10</v>
      </c>
      <c r="B128" t="n">
        <v>11</v>
      </c>
      <c r="C128" t="n">
        <v>67</v>
      </c>
      <c r="D128" s="10" t="n">
        <v>0.8</v>
      </c>
      <c r="E128" s="14">
        <f>C128*D128</f>
        <v/>
      </c>
      <c r="F128" s="14">
        <f>E128*$B$4</f>
        <v/>
      </c>
      <c r="G128" s="15">
        <f>F128*4.3</f>
        <v/>
      </c>
      <c r="H128" s="7">
        <f>$B$7</f>
        <v/>
      </c>
      <c r="I128" s="5">
        <f>G128*H128</f>
        <v/>
      </c>
      <c r="J128" s="5">
        <f>E128*F128</f>
        <v/>
      </c>
    </row>
    <row r="129">
      <c r="A129" t="n">
        <v>10</v>
      </c>
      <c r="B129" t="n">
        <v>12</v>
      </c>
      <c r="C129" t="n">
        <v>67</v>
      </c>
      <c r="D129" s="10" t="n">
        <v>0.8</v>
      </c>
      <c r="E129" s="14">
        <f>C129*D129</f>
        <v/>
      </c>
      <c r="F129" s="14">
        <f>E129*$B$4</f>
        <v/>
      </c>
      <c r="G129" s="15">
        <f>F129*4.3</f>
        <v/>
      </c>
      <c r="H129" s="7">
        <f>$B$7</f>
        <v/>
      </c>
      <c r="I129" s="5">
        <f>G129*H129</f>
        <v/>
      </c>
      <c r="J129" s="5">
        <f>E129*F129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2026-05-04T18:22:16Z</dcterms:created>
  <dcterms:modified xsi:type="dcterms:W3CDTF">2026-05-04T20:28:56Z</dcterms:modified>
</cp:coreProperties>
</file>