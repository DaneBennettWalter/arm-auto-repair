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Renovation Schedule" sheetId="5" state="visible" r:id="rId5"/>
    <sheet name="10-Year Monthly Projections" sheetId="6" state="visible" r:id="rId6"/>
    <sheet name="Annual Summary" sheetId="7" state="visible" r:id="rId7"/>
    <sheet name="Sources &amp; Uses" sheetId="8" state="visible" r:id="rId8"/>
    <sheet name="Debt Service Schedule" sheetId="9" state="visible" r:id="rId9"/>
    <sheet name="Property Valuation" sheetId="10" state="visible" r:id="rId10"/>
    <sheet name="Sensitivity Analysis" sheetId="11" state="visible" r:id="rId11"/>
    <sheet name="Assumptions &amp; Notes" sheetId="12" state="visible" r:id="rId12"/>
    <sheet name="Laundry Reven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  <font>
      <i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BRENDLE - CASH-OUT REFINANCE REQUEST</t>
        </is>
      </c>
    </row>
    <row r="2">
      <c r="A2" t="inlineStr">
        <is>
          <t>Prepared: May 04, 2026</t>
        </is>
      </c>
    </row>
    <row r="4">
      <c r="A4" s="2" t="inlineStr">
        <is>
          <t>PROPERTY INFORMATION</t>
        </is>
      </c>
    </row>
    <row r="5">
      <c r="A5" t="inlineStr">
        <is>
          <t>Address:</t>
        </is>
      </c>
      <c r="B5" t="inlineStr">
        <is>
          <t>601 E Ave A, Robstown, TX 78380</t>
        </is>
      </c>
    </row>
    <row r="6">
      <c r="A6" t="inlineStr">
        <is>
          <t>Property Type:</t>
        </is>
      </c>
      <c r="B6" t="inlineStr">
        <is>
          <t>Historic Hotel - Extended Stay</t>
        </is>
      </c>
    </row>
    <row r="7">
      <c r="A7" t="inlineStr">
        <is>
          <t>Total Rooms:</t>
        </is>
      </c>
      <c r="B7" t="n">
        <v>67</v>
      </c>
    </row>
    <row r="8">
      <c r="A8" t="inlineStr">
        <is>
          <t>Currently Available:</t>
        </is>
      </c>
      <c r="B8" t="n">
        <v>24</v>
      </c>
    </row>
    <row r="9">
      <c r="A9" t="inlineStr">
        <is>
          <t>Currently Occupied:</t>
        </is>
      </c>
      <c r="B9" t="n">
        <v>18</v>
      </c>
    </row>
    <row r="10">
      <c r="A10" t="inlineStr">
        <is>
          <t>To Be Renovated:</t>
        </is>
      </c>
      <c r="B10" t="n">
        <v>43</v>
      </c>
    </row>
    <row r="11">
      <c r="A11" t="inlineStr">
        <is>
          <t>Renovation Timeline:</t>
        </is>
      </c>
      <c r="B11" t="inlineStr">
        <is>
          <t>6 months</t>
        </is>
      </c>
    </row>
    <row r="13">
      <c r="A13" s="2" t="inlineStr">
        <is>
          <t>LOAN REQUEST</t>
        </is>
      </c>
    </row>
    <row r="14">
      <c r="A14" t="inlineStr">
        <is>
          <t>Amount Requested:</t>
        </is>
      </c>
      <c r="B14" s="3" t="n">
        <v>850000</v>
      </c>
    </row>
    <row r="16">
      <c r="A16" s="4" t="inlineStr">
        <is>
          <t>USE OF PROCEEDS</t>
        </is>
      </c>
    </row>
    <row r="17">
      <c r="A17" t="inlineStr">
        <is>
          <t>Existing Debt Payoff</t>
        </is>
      </c>
      <c r="B17" s="5" t="n">
        <v>150000</v>
      </c>
    </row>
    <row r="18">
      <c r="A18" t="inlineStr">
        <is>
          <t>Renovation &amp; Amenities (43 rooms)</t>
        </is>
      </c>
      <c r="B18" s="5">
        <f>'Sources &amp; Uses'!B9</f>
        <v/>
      </c>
    </row>
    <row r="19">
      <c r="A19" t="inlineStr">
        <is>
          <t>Contingency</t>
        </is>
      </c>
      <c r="B19" s="5">
        <f>'Sources &amp; Uses'!B10</f>
        <v/>
      </c>
    </row>
    <row r="20">
      <c r="A20" s="4" t="inlineStr">
        <is>
          <t>Total Uses</t>
        </is>
      </c>
      <c r="B20" s="3">
        <f>'Sources &amp; Uses'!B11</f>
        <v/>
      </c>
    </row>
    <row r="22">
      <c r="A22" s="2" t="inlineStr">
        <is>
          <t>LOAN TERMS</t>
        </is>
      </c>
    </row>
    <row r="23">
      <c r="A23" t="inlineStr">
        <is>
          <t>Interest Rate:</t>
        </is>
      </c>
      <c r="B23" s="6" t="n">
        <v>0.075</v>
      </c>
    </row>
    <row r="24">
      <c r="A24" t="inlineStr">
        <is>
          <t>Amortization:</t>
        </is>
      </c>
      <c r="B24" t="inlineStr">
        <is>
          <t>25 years</t>
        </is>
      </c>
    </row>
    <row r="25">
      <c r="A25" t="inlineStr">
        <is>
          <t>Monthly Payment (P&amp;I):</t>
        </is>
      </c>
      <c r="B25" s="7" t="n">
        <v>6281.43</v>
      </c>
    </row>
    <row r="26">
      <c r="A26" t="inlineStr">
        <is>
          <t>Annual Debt Service:</t>
        </is>
      </c>
      <c r="B26" s="5">
        <f>B$B25*12</f>
        <v/>
      </c>
    </row>
    <row r="28">
      <c r="A28" s="2" t="inlineStr">
        <is>
          <t>CURRENT OPERATIONS (April 2026)</t>
        </is>
      </c>
    </row>
    <row r="29">
      <c r="A29" t="inlineStr">
        <is>
          <t>Occupied Rooms:</t>
        </is>
      </c>
      <c r="B29" t="n">
        <v>18</v>
      </c>
    </row>
    <row r="30">
      <c r="A30" t="inlineStr">
        <is>
          <t>Monthly Revenue:</t>
        </is>
      </c>
      <c r="B30" s="5" t="n">
        <v>15340</v>
      </c>
    </row>
    <row r="31">
      <c r="A31" t="inlineStr">
        <is>
          <t>Annual NOI:</t>
        </is>
      </c>
      <c r="B31" s="5">
        <f>'Current Operations'!B25</f>
        <v/>
      </c>
    </row>
    <row r="33">
      <c r="A33" s="2" t="inlineStr">
        <is>
          <t>STABILIZED PROJECTIONS (Year 3)</t>
        </is>
      </c>
    </row>
    <row r="34">
      <c r="A34" t="inlineStr">
        <is>
          <t>Stabilized Occupancy:</t>
        </is>
      </c>
      <c r="B34" s="16" t="n">
        <v>0.8</v>
      </c>
    </row>
    <row r="35">
      <c r="A35" t="inlineStr">
        <is>
          <t>Stabilized Occupied Rooms:</t>
        </is>
      </c>
      <c r="B35" s="15">
        <f>67*B$34</f>
        <v/>
      </c>
    </row>
    <row r="36">
      <c r="A36" t="inlineStr">
        <is>
          <t>Annual Gross Revenue:</t>
        </is>
      </c>
      <c r="B36" s="5">
        <f>'Annual Summary'!B6</f>
        <v/>
      </c>
    </row>
    <row r="37">
      <c r="A37" t="inlineStr">
        <is>
          <t>Annual Operating Expenses:</t>
        </is>
      </c>
      <c r="B37" s="5">
        <f>'Annual Summary'!C6</f>
        <v/>
      </c>
    </row>
    <row r="38">
      <c r="A38" t="inlineStr">
        <is>
          <t>Stabilized NOI:</t>
        </is>
      </c>
      <c r="B38" s="3">
        <f>'Annual Summary'!D6</f>
        <v/>
      </c>
    </row>
    <row r="39">
      <c r="A39" t="inlineStr">
        <is>
          <t>DSCR:</t>
        </is>
      </c>
      <c r="B39" s="17">
        <f>'Annual Summary'!G6</f>
        <v/>
      </c>
    </row>
    <row r="41">
      <c r="A41" s="2" t="inlineStr">
        <is>
          <t>PROPERTY VALUATION</t>
        </is>
      </c>
    </row>
    <row r="42">
      <c r="A42" t="inlineStr">
        <is>
          <t>Stabilized Value (Year 3, 10% cap):</t>
        </is>
      </c>
      <c r="B42" s="5">
        <f>'Property Valuation'!B11</f>
        <v/>
      </c>
    </row>
    <row r="43">
      <c r="A43" t="inlineStr">
        <is>
          <t>Loan Amount:</t>
        </is>
      </c>
      <c r="B43" s="5" t="n">
        <v>850000</v>
      </c>
    </row>
    <row r="44">
      <c r="A44" t="inlineStr">
        <is>
          <t>Loan-to-Value (LTV):</t>
        </is>
      </c>
      <c r="B44" s="10">
        <f>'Property Valuation'!B16</f>
        <v/>
      </c>
    </row>
    <row r="45">
      <c r="A45" t="inlineStr">
        <is>
          <t>Owner Equity:</t>
        </is>
      </c>
      <c r="B45" s="5">
        <f>'Property Valuation'!B17</f>
        <v/>
      </c>
    </row>
    <row r="47">
      <c r="A47" s="2" t="inlineStr">
        <is>
          <t>REVENUE SOURCES</t>
        </is>
      </c>
    </row>
    <row r="48">
      <c r="A48" t="inlineStr">
        <is>
          <t>Room Rental Income</t>
        </is>
      </c>
    </row>
    <row r="49">
      <c r="A49" t="inlineStr">
        <is>
          <t>Laundry Revenue (6 washers, 6 dryers)</t>
        </is>
      </c>
    </row>
    <row r="50">
      <c r="A50" t="inlineStr">
        <is>
          <t xml:space="preserve">  - 1.0 load per occupied room per week</t>
        </is>
      </c>
    </row>
    <row r="51">
      <c r="A51" t="inlineStr">
        <is>
          <t xml:space="preserve">  - $4.50 per load (wash + dry)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SCHEDULE - 6 MONTH TIMELINE</t>
        </is>
      </c>
    </row>
    <row r="3">
      <c r="A3" t="inlineStr">
        <is>
          <t>Rooms to Renovate: 43 (7 light, 36 full)</t>
        </is>
      </c>
    </row>
    <row r="4">
      <c r="A4" t="inlineStr">
        <is>
          <t>Average: 7.17 rooms per month</t>
        </is>
      </c>
    </row>
    <row r="6">
      <c r="A6" s="4" t="inlineStr">
        <is>
          <t>Month</t>
        </is>
      </c>
      <c r="B6" s="4" t="inlineStr">
        <is>
          <t>Rooms Completed</t>
        </is>
      </c>
      <c r="C6" s="4" t="inlineStr">
        <is>
          <t>Cumulative Online</t>
        </is>
      </c>
      <c r="D6" s="4" t="inlineStr">
        <is>
          <t>Total Rooms Available</t>
        </is>
      </c>
      <c r="E6" s="4" t="inlineStr">
        <is>
          <t>Notes</t>
        </is>
      </c>
    </row>
    <row r="7">
      <c r="A7" t="n">
        <v>0</v>
      </c>
      <c r="B7" t="n">
        <v>0</v>
      </c>
      <c r="C7" t="n">
        <v>0</v>
      </c>
      <c r="D7" t="n">
        <v>24</v>
      </c>
      <c r="E7" t="inlineStr">
        <is>
          <t>Baseline - 24 rooms currently available</t>
        </is>
      </c>
    </row>
    <row r="8">
      <c r="A8" t="n">
        <v>1</v>
      </c>
      <c r="B8" t="n">
        <v>7</v>
      </c>
      <c r="C8" t="n">
        <v>7</v>
      </c>
      <c r="D8" t="n">
        <v>31</v>
      </c>
      <c r="E8" t="inlineStr">
        <is>
          <t>Begin renovation - light reno rooms prioritized</t>
        </is>
      </c>
    </row>
    <row r="9">
      <c r="A9" t="n">
        <v>2</v>
      </c>
      <c r="B9" t="n">
        <v>7</v>
      </c>
      <c r="C9" t="n">
        <v>14</v>
      </c>
      <c r="D9" t="n">
        <v>38</v>
      </c>
    </row>
    <row r="10">
      <c r="A10" t="n">
        <v>3</v>
      </c>
      <c r="B10" t="n">
        <v>7</v>
      </c>
      <c r="C10" t="n">
        <v>21</v>
      </c>
      <c r="D10" t="n">
        <v>45</v>
      </c>
      <c r="E10" t="inlineStr">
        <is>
          <t>Halfway point</t>
        </is>
      </c>
    </row>
    <row r="11">
      <c r="A11" t="n">
        <v>4</v>
      </c>
      <c r="B11" t="n">
        <v>7</v>
      </c>
      <c r="C11" t="n">
        <v>28</v>
      </c>
      <c r="D11" t="n">
        <v>52</v>
      </c>
    </row>
    <row r="12">
      <c r="A12" t="n">
        <v>5</v>
      </c>
      <c r="B12" t="n">
        <v>7</v>
      </c>
      <c r="C12" t="n">
        <v>35</v>
      </c>
      <c r="D12" t="n">
        <v>59</v>
      </c>
    </row>
    <row r="13">
      <c r="A13" t="n">
        <v>6</v>
      </c>
      <c r="B13" t="n">
        <v>7</v>
      </c>
      <c r="C13" t="n">
        <v>42</v>
      </c>
      <c r="D13" t="n">
        <v>66</v>
      </c>
      <c r="E13" t="inlineStr">
        <is>
          <t>Renovation complete - 67 rooms total</t>
        </is>
      </c>
    </row>
    <row r="14">
      <c r="A14" s="4" t="inlineStr">
        <is>
          <t>POST-RENOVATION:</t>
        </is>
      </c>
      <c r="D14" s="4" t="n">
        <v>67</v>
      </c>
      <c r="E14" t="inlineStr">
        <is>
          <t>All rooms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SENSITIVITY ANALYSIS - DSCR SCENARIOS</t>
        </is>
      </c>
    </row>
    <row r="3">
      <c r="A3" s="19" t="inlineStr">
        <is>
          <t>Year 3 Stabilized Performance Under Various Scenarios</t>
        </is>
      </c>
    </row>
    <row r="5">
      <c r="A5" s="4" t="inlineStr">
        <is>
          <t>Scenario</t>
        </is>
      </c>
      <c r="B5" s="4" t="inlineStr">
        <is>
          <t>Occupancy</t>
        </is>
      </c>
      <c r="C5" s="4" t="inlineStr">
        <is>
          <t>Avg Rent</t>
        </is>
      </c>
      <c r="D5" s="4" t="inlineStr">
        <is>
          <t>Annual Revenue</t>
        </is>
      </c>
      <c r="E5" s="4" t="inlineStr">
        <is>
          <t>Annual Op Exp</t>
        </is>
      </c>
      <c r="F5" s="4" t="inlineStr">
        <is>
          <t>NOI</t>
        </is>
      </c>
      <c r="G5" s="4" t="inlineStr">
        <is>
          <t>Annual Debt Svc</t>
        </is>
      </c>
      <c r="H5" s="4" t="inlineStr">
        <is>
          <t>DSCR</t>
        </is>
      </c>
    </row>
    <row r="6">
      <c r="A6" t="inlineStr">
        <is>
          <t>Conservative</t>
        </is>
      </c>
      <c r="B6" s="16" t="n">
        <v>0.7</v>
      </c>
      <c r="C6" s="5" t="n">
        <v>800</v>
      </c>
      <c r="D6" s="5" t="n">
        <v>461130.18</v>
      </c>
      <c r="E6" s="5" t="n">
        <v>276576</v>
      </c>
      <c r="F6" s="5" t="n">
        <v>184554.18</v>
      </c>
      <c r="G6" s="5" t="n">
        <v>75377</v>
      </c>
      <c r="H6" s="11" t="n">
        <v>2.448415033763615</v>
      </c>
    </row>
    <row r="7">
      <c r="A7" s="20" t="inlineStr">
        <is>
          <t>Base Case</t>
        </is>
      </c>
      <c r="B7" s="21" t="n">
        <v>0.8</v>
      </c>
      <c r="C7" s="22" t="n">
        <v>850</v>
      </c>
      <c r="D7" s="22" t="n">
        <v>559165.92</v>
      </c>
      <c r="E7" s="22" t="n">
        <v>276576</v>
      </c>
      <c r="F7" s="22" t="n">
        <v>282589.92</v>
      </c>
      <c r="G7" s="22" t="n">
        <v>75377</v>
      </c>
      <c r="H7" s="23" t="n">
        <v>3.749020523501864</v>
      </c>
    </row>
    <row r="8">
      <c r="A8" t="inlineStr">
        <is>
          <t>Optimistic</t>
        </is>
      </c>
      <c r="B8" s="16" t="n">
        <v>0.9</v>
      </c>
      <c r="C8" s="5" t="n">
        <v>900</v>
      </c>
      <c r="D8" s="5" t="n">
        <v>665241.6600000001</v>
      </c>
      <c r="E8" s="5" t="n">
        <v>276576</v>
      </c>
      <c r="F8" s="5" t="n">
        <v>388665.6600000001</v>
      </c>
      <c r="G8" s="5" t="n">
        <v>75377</v>
      </c>
      <c r="H8" s="11" t="n">
        <v>5.156289849688899</v>
      </c>
    </row>
    <row r="11">
      <c r="A11" s="2" t="inlineStr">
        <is>
          <t>STRESS TEST SCENARIOS</t>
        </is>
      </c>
    </row>
    <row r="12">
      <c r="A12" s="4" t="inlineStr">
        <is>
          <t>Scenario</t>
        </is>
      </c>
      <c r="B12" s="4" t="inlineStr">
        <is>
          <t>Occupancy</t>
        </is>
      </c>
      <c r="C12" s="4" t="inlineStr">
        <is>
          <t>Avg Rent</t>
        </is>
      </c>
      <c r="D12" s="4" t="inlineStr">
        <is>
          <t>DSCR</t>
        </is>
      </c>
      <c r="E12" s="4" t="inlineStr">
        <is>
          <t>Pass/Fail</t>
        </is>
      </c>
    </row>
    <row r="13">
      <c r="A13" t="inlineStr">
        <is>
          <t>Severe Downturn</t>
        </is>
      </c>
      <c r="B13" s="16" t="n">
        <v>0.6</v>
      </c>
      <c r="C13" s="5" t="n">
        <v>750</v>
      </c>
      <c r="D13" s="11" t="n">
        <v>1.254473380474149</v>
      </c>
      <c r="E13" s="24" t="inlineStr">
        <is>
          <t>PASS</t>
        </is>
      </c>
    </row>
    <row r="14">
      <c r="A14" t="inlineStr">
        <is>
          <t>Moderate Stress</t>
        </is>
      </c>
      <c r="B14" s="16" t="n">
        <v>0.65</v>
      </c>
      <c r="C14" s="5" t="n">
        <v>775</v>
      </c>
      <c r="D14" s="11" t="n">
        <v>1.838111227562784</v>
      </c>
      <c r="E14" s="24" t="inlineStr">
        <is>
          <t>PASS</t>
        </is>
      </c>
    </row>
    <row r="15">
      <c r="A15" t="inlineStr">
        <is>
          <t>Mild Stress</t>
        </is>
      </c>
      <c r="B15" s="16" t="n">
        <v>0.7</v>
      </c>
      <c r="C15" s="5" t="n">
        <v>800</v>
      </c>
      <c r="D15" s="11" t="n">
        <v>2.448415033763615</v>
      </c>
      <c r="E15" s="2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ASSUMPTIONS &amp; METHODOLOGY</t>
        </is>
      </c>
    </row>
    <row r="3">
      <c r="A3" s="2" t="inlineStr">
        <is>
          <t>PROPERTY ASSUMPTIONS</t>
        </is>
      </c>
    </row>
    <row r="4">
      <c r="A4" t="inlineStr">
        <is>
          <t xml:space="preserve">  Total Rooms:</t>
        </is>
      </c>
      <c r="B4" t="inlineStr">
        <is>
          <t>67 rooms (historic hotel capacity)</t>
        </is>
      </c>
    </row>
    <row r="5">
      <c r="A5" t="inlineStr">
        <is>
          <t xml:space="preserve">  Currently Available:</t>
        </is>
      </c>
      <c r="B5" t="inlineStr">
        <is>
          <t>24 rooms (as of April 2026)</t>
        </is>
      </c>
    </row>
    <row r="6">
      <c r="A6" t="inlineStr">
        <is>
          <t xml:space="preserve">  Currently Occupied:</t>
        </is>
      </c>
      <c r="B6" t="inlineStr">
        <is>
          <t>18 rooms (75% of available)</t>
        </is>
      </c>
    </row>
    <row r="7">
      <c r="A7" t="inlineStr">
        <is>
          <t xml:space="preserve">  To Be Renovated:</t>
        </is>
      </c>
      <c r="B7" t="inlineStr">
        <is>
          <t>43 rooms (7 light, 36 full)</t>
        </is>
      </c>
    </row>
    <row r="8">
      <c r="A8" t="inlineStr">
        <is>
          <t xml:space="preserve">  Renovation Timeline:</t>
        </is>
      </c>
      <c r="B8" t="inlineStr">
        <is>
          <t>6 months from loan closing</t>
        </is>
      </c>
    </row>
    <row r="10">
      <c r="A10" s="2" t="inlineStr">
        <is>
          <t>REVENUE ASSUMPTIONS</t>
        </is>
      </c>
    </row>
    <row r="11">
      <c r="A11" t="inlineStr">
        <is>
          <t xml:space="preserve">  Average Rent:</t>
        </is>
      </c>
      <c r="B11" t="inlineStr">
        <is>
          <t>$850/month post-renovation (range: $700-$1,000)</t>
        </is>
      </c>
    </row>
    <row r="12">
      <c r="A12" t="inlineStr">
        <is>
          <t xml:space="preserve">  Current Rent:</t>
        </is>
      </c>
      <c r="B12" t="inlineStr">
        <is>
          <t>$640-$700/month (as of April 2026)</t>
        </is>
      </c>
    </row>
    <row r="13">
      <c r="A13" t="inlineStr">
        <is>
          <t xml:space="preserve">  Stabilized Occupancy:</t>
        </is>
      </c>
      <c r="B13" t="inlineStr">
        <is>
          <t>80% (conservative for extended stay market)</t>
        </is>
      </c>
    </row>
    <row r="14">
      <c r="A14" t="inlineStr">
        <is>
          <t xml:space="preserve">  Ramp-Up Period:</t>
        </is>
      </c>
      <c r="B14" t="inlineStr">
        <is>
          <t>12 months post-renovation to reach stabilized occupancy</t>
        </is>
      </c>
    </row>
    <row r="15">
      <c r="A15" t="inlineStr">
        <is>
          <t xml:space="preserve">  During Renovation Occupancy:</t>
        </is>
      </c>
      <c r="B15" t="inlineStr">
        <is>
          <t>75% of current baseline maintained</t>
        </is>
      </c>
    </row>
    <row r="16">
      <c r="A16" t="inlineStr">
        <is>
          <t xml:space="preserve">  Laundry Revenue:</t>
        </is>
      </c>
      <c r="B16" t="inlineStr">
        <is>
          <t>1.0 load per occupied room per week @ $4.50/load</t>
        </is>
      </c>
    </row>
    <row r="17">
      <c r="A17" t="inlineStr">
        <is>
          <t xml:space="preserve">  Laundry Equipment:</t>
        </is>
      </c>
      <c r="B17" t="inlineStr">
        <is>
          <t>6 commercial washers, 6 dryers</t>
        </is>
      </c>
    </row>
    <row r="19">
      <c r="A19" s="2" t="inlineStr">
        <is>
          <t>OPERATING EXPENSE ASSUMPTIONS</t>
        </is>
      </c>
    </row>
    <row r="20">
      <c r="A20" t="inlineStr">
        <is>
          <t xml:space="preserve">  Operating Expense per Room:</t>
        </is>
      </c>
      <c r="B20" t="inlineStr">
        <is>
          <t>$344/room/month (all-in)</t>
        </is>
      </c>
    </row>
    <row r="21">
      <c r="A21" t="inlineStr">
        <is>
          <t xml:space="preserve">  Includes:</t>
        </is>
      </c>
      <c r="B21" t="inlineStr">
        <is>
          <t>Payroll, property taxes, utilities, maintenance, insurance, supplies</t>
        </is>
      </c>
    </row>
    <row r="22">
      <c r="A22" t="inlineStr">
        <is>
          <t xml:space="preserve">  Basis:</t>
        </is>
      </c>
      <c r="B22" t="inlineStr">
        <is>
          <t>Q1 2026 actual expenses scaled to 67 rooms</t>
        </is>
      </c>
    </row>
    <row r="23">
      <c r="A23" t="inlineStr">
        <is>
          <t xml:space="preserve">  Payroll:</t>
        </is>
      </c>
      <c r="B23" t="inlineStr">
        <is>
          <t>$4,792/month average (Q1 2026)</t>
        </is>
      </c>
    </row>
    <row r="24">
      <c r="A24" t="inlineStr">
        <is>
          <t xml:space="preserve">  Property Taxes:</t>
        </is>
      </c>
      <c r="B24" t="inlineStr">
        <is>
          <t>$3,000/month ($36,000/year)</t>
        </is>
      </c>
    </row>
    <row r="25">
      <c r="A25" t="inlineStr">
        <is>
          <t xml:space="preserve">  Utilities:</t>
        </is>
      </c>
      <c r="B25" t="inlineStr">
        <is>
          <t>Electric, gas, water, sewer (~$2,300/month total)</t>
        </is>
      </c>
    </row>
    <row r="27">
      <c r="A27" s="2" t="inlineStr">
        <is>
          <t>RENOVATION COST ASSUMPTIONS</t>
        </is>
      </c>
    </row>
    <row r="28">
      <c r="A28" t="inlineStr">
        <is>
          <t xml:space="preserve">  Light Renovation:</t>
        </is>
      </c>
      <c r="B28" t="inlineStr">
        <is>
          <t>$1,217/room × 7 rooms = $8,519</t>
        </is>
      </c>
    </row>
    <row r="29">
      <c r="A29" t="inlineStr">
        <is>
          <t xml:space="preserve">  Full Renovation:</t>
        </is>
      </c>
      <c r="B29" t="inlineStr">
        <is>
          <t>$8,273/room × 36 rooms = $297,828</t>
        </is>
      </c>
    </row>
    <row r="30">
      <c r="A30" t="inlineStr">
        <is>
          <t xml:space="preserve">  Central HVAC System:</t>
        </is>
      </c>
      <c r="B30" t="inlineStr">
        <is>
          <t>$32,000 (20-ton central unit, ductwork, dampers)</t>
        </is>
      </c>
    </row>
    <row r="31">
      <c r="A31" t="inlineStr">
        <is>
          <t xml:space="preserve">  Extended Laundry Facility:</t>
        </is>
      </c>
      <c r="B31" t="inlineStr">
        <is>
          <t>$47,100 (6 washers, 6 dryers, installation)</t>
        </is>
      </c>
    </row>
    <row r="32">
      <c r="A32" t="inlineStr">
        <is>
          <t xml:space="preserve">  Extended Kitchen:</t>
        </is>
      </c>
      <c r="B32" t="inlineStr">
        <is>
          <t>$37,500 (commercial equipment, installation)</t>
        </is>
      </c>
    </row>
    <row r="33">
      <c r="A33" t="inlineStr">
        <is>
          <t xml:space="preserve">  Infrastructure/Jobsite:</t>
        </is>
      </c>
      <c r="B33" t="inlineStr">
        <is>
          <t>$25,000 (permits, tools, management)</t>
        </is>
      </c>
    </row>
    <row r="34">
      <c r="A34" t="inlineStr">
        <is>
          <t xml:space="preserve">  Subtotal:</t>
        </is>
      </c>
      <c r="B34" t="inlineStr">
        <is>
          <t>$448,347</t>
        </is>
      </c>
    </row>
    <row r="35">
      <c r="A35" t="inlineStr">
        <is>
          <t xml:space="preserve">  Contingency:</t>
        </is>
      </c>
      <c r="B35" t="inlineStr">
        <is>
          <t>$44,835 (10%)</t>
        </is>
      </c>
    </row>
    <row r="36">
      <c r="A36" t="inlineStr">
        <is>
          <t xml:space="preserve">  Total Renovation Budget:</t>
        </is>
      </c>
      <c r="B36" t="inlineStr">
        <is>
          <t>$493,182</t>
        </is>
      </c>
    </row>
    <row r="38">
      <c r="A38" s="2" t="inlineStr">
        <is>
          <t>LOAN ASSUMPTIONS</t>
        </is>
      </c>
    </row>
    <row r="39">
      <c r="A39" t="inlineStr">
        <is>
          <t xml:space="preserve">  Loan Amount:</t>
        </is>
      </c>
      <c r="B39" t="inlineStr">
        <is>
          <t>$850,000 (cash-out refinance)</t>
        </is>
      </c>
    </row>
    <row r="40">
      <c r="A40" t="inlineStr">
        <is>
          <t xml:space="preserve">  Use of Proceeds:</t>
        </is>
      </c>
      <c r="B40" t="inlineStr">
        <is>
          <t>$150k debt payoff + $493k renovation + $207k cushion</t>
        </is>
      </c>
    </row>
    <row r="41">
      <c r="A41" t="inlineStr">
        <is>
          <t xml:space="preserve">  Interest Rate:</t>
        </is>
      </c>
      <c r="B41" t="inlineStr">
        <is>
          <t>7.5% (30-year commercial mortgage rate)</t>
        </is>
      </c>
    </row>
    <row r="42">
      <c r="A42" t="inlineStr">
        <is>
          <t xml:space="preserve">  Amortization:</t>
        </is>
      </c>
      <c r="B42" t="inlineStr">
        <is>
          <t>25 years</t>
        </is>
      </c>
    </row>
    <row r="43">
      <c r="A43" t="inlineStr">
        <is>
          <t xml:space="preserve">  Monthly Payment:</t>
        </is>
      </c>
      <c r="B43" t="inlineStr">
        <is>
          <t>$6,281.43 (principal + interest)</t>
        </is>
      </c>
    </row>
    <row r="44">
      <c r="A44" t="inlineStr">
        <is>
          <t xml:space="preserve">  Annual Debt Service:</t>
        </is>
      </c>
      <c r="B44" t="inlineStr">
        <is>
          <t>$75,377</t>
        </is>
      </c>
    </row>
    <row r="45">
      <c r="A45" t="inlineStr">
        <is>
          <t xml:space="preserve">  Existing Debt:</t>
        </is>
      </c>
      <c r="B45" t="inlineStr">
        <is>
          <t>$141,000 (to be paid off at closing)</t>
        </is>
      </c>
    </row>
    <row r="47">
      <c r="A47" s="2" t="inlineStr">
        <is>
          <t>VALUATION ASSUMPTIONS</t>
        </is>
      </c>
    </row>
    <row r="48">
      <c r="A48" t="inlineStr">
        <is>
          <t xml:space="preserve">  As-Is Cap Rate:</t>
        </is>
      </c>
      <c r="B48" t="inlineStr">
        <is>
          <t>12% (reflects current occupancy and condition)</t>
        </is>
      </c>
    </row>
    <row r="49">
      <c r="A49" t="inlineStr">
        <is>
          <t xml:space="preserve">  Stabilized Cap Rate:</t>
        </is>
      </c>
      <c r="B49" t="inlineStr">
        <is>
          <t>10% (post-renovation, stabilized occupancy)</t>
        </is>
      </c>
    </row>
    <row r="50">
      <c r="A50" t="inlineStr">
        <is>
          <t xml:space="preserve">  As-Is NOI:</t>
        </is>
      </c>
      <c r="B50" t="inlineStr">
        <is>
          <t>~$85,000/year (current operations)</t>
        </is>
      </c>
    </row>
    <row r="51">
      <c r="A51" t="inlineStr">
        <is>
          <t xml:space="preserve">  Stabilized NOI:</t>
        </is>
      </c>
      <c r="B51" t="inlineStr">
        <is>
          <t>~$287,000/year (Year 3)</t>
        </is>
      </c>
    </row>
    <row r="52">
      <c r="A52" t="inlineStr">
        <is>
          <t xml:space="preserve">  Stabilized Value:</t>
        </is>
      </c>
      <c r="B52" t="inlineStr">
        <is>
          <t>$2,870,000 (Year 3, 10% cap rate)</t>
        </is>
      </c>
    </row>
    <row r="53">
      <c r="A53" t="inlineStr">
        <is>
          <t xml:space="preserve">  Loan-to-Value:</t>
        </is>
      </c>
      <c r="B53" t="inlineStr">
        <is>
          <t>~30% (conservative, strong equity position)</t>
        </is>
      </c>
    </row>
    <row r="55">
      <c r="A55" s="2" t="inlineStr">
        <is>
          <t>METHODOLOGY NOTES</t>
        </is>
      </c>
    </row>
    <row r="56">
      <c r="A56" t="inlineStr">
        <is>
          <t xml:space="preserve">  Occupancy Ramp:</t>
        </is>
      </c>
      <c r="B56" t="inlineStr">
        <is>
          <t>Modeled as gradual increase from 70% to 80% over 12 months post-renovation</t>
        </is>
      </c>
    </row>
    <row r="57">
      <c r="A57" t="inlineStr">
        <is>
          <t xml:space="preserve">  Seasonality:</t>
        </is>
      </c>
      <c r="B57" t="inlineStr">
        <is>
          <t>Not modeled - extended stay market has minimal seasonal variation</t>
        </is>
      </c>
    </row>
    <row r="58">
      <c r="A58" t="inlineStr">
        <is>
          <t xml:space="preserve">  Vacancy Allowance:</t>
        </is>
      </c>
      <c r="B58" t="inlineStr">
        <is>
          <t>Built into 80% stabilized occupancy assumption</t>
        </is>
      </c>
    </row>
    <row r="59">
      <c r="A59" t="inlineStr">
        <is>
          <t xml:space="preserve">  Bad Debt:</t>
        </is>
      </c>
      <c r="B59" t="inlineStr">
        <is>
          <t>Not separately modeled - included in occupancy assumption</t>
        </is>
      </c>
    </row>
    <row r="60">
      <c r="A60" t="inlineStr">
        <is>
          <t xml:space="preserve">  CapEx Reserve:</t>
        </is>
      </c>
      <c r="B60" t="inlineStr">
        <is>
          <t>Not included in operating expenses - renovation addresses deferred maintenance</t>
        </is>
      </c>
    </row>
    <row r="61">
      <c r="A61" t="inlineStr">
        <is>
          <t xml:space="preserve">  Grant Funding:</t>
        </is>
      </c>
      <c r="B61" t="inlineStr">
        <is>
          <t>40% renovation grant ($240k potential) mentioned but NOT assumed in projections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2026-05-04T20:29:19Z</dcterms:modified>
</cp:coreProperties>
</file>