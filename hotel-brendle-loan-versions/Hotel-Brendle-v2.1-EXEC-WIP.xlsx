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Sensitivity Analysis" sheetId="11" state="visible" r:id="rId11"/>
    <sheet name="Assumptions &amp; Notes" sheetId="12" state="visible" r:id="rId12"/>
    <sheet name="Laundry Reven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  <font>
      <i val="1"/>
    </font>
    <font>
      <b val="1"/>
      <color rgb="00008000"/>
    </font>
    <font>
      <b val="1"/>
      <color rgb="00FFFFFF"/>
      <sz val="18"/>
    </font>
    <font>
      <i val="1"/>
      <sz val="10"/>
    </font>
    <font>
      <b val="1"/>
      <color rgb="001E3A5F"/>
      <sz val="14"/>
    </font>
    <font>
      <sz val="11"/>
    </font>
    <font>
      <b val="1"/>
      <sz val="11"/>
    </font>
    <font>
      <b val="1"/>
      <color rgb="00C8102E"/>
      <sz val="12"/>
    </font>
    <font>
      <i val="1"/>
      <sz val="9"/>
    </font>
    <font>
      <b val="1"/>
      <color rgb="00C8102E"/>
      <sz val="11"/>
    </font>
    <font>
      <b val="1"/>
      <color rgb="00C8102E"/>
    </font>
    <font>
      <b val="1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E3A5F"/>
        <bgColor rgb="001E3A5F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0" fillId="4" borderId="0" pivotButton="0" quotePrefix="0" xfId="0"/>
    <xf numFmtId="164" fontId="13" fillId="0" borderId="0" pivotButton="0" quotePrefix="0" xfId="0"/>
    <xf numFmtId="0" fontId="14" fillId="0" borderId="0" pivotButton="0" quotePrefix="0" xfId="0"/>
    <xf numFmtId="166" fontId="13" fillId="0" borderId="0" pivotButton="0" quotePrefix="0" xfId="0"/>
    <xf numFmtId="167" fontId="13" fillId="0" borderId="0" pivotButton="0" quotePrefix="0" xfId="0"/>
    <xf numFmtId="10" fontId="12" fillId="0" borderId="0" pivotButton="0" quotePrefix="0" xfId="0"/>
    <xf numFmtId="165" fontId="12" fillId="0" borderId="0" pivotButton="0" quotePrefix="0" xfId="0"/>
    <xf numFmtId="167" fontId="12" fillId="0" borderId="0" pivotButton="0" quotePrefix="0" xfId="0"/>
    <xf numFmtId="9" fontId="12" fillId="0" borderId="0" pivotButton="0" quotePrefix="0" xfId="0"/>
    <xf numFmtId="1" fontId="12" fillId="0" borderId="0" pivotButton="0" quotePrefix="0" xfId="0"/>
    <xf numFmtId="164" fontId="15" fillId="0" borderId="0" pivotButton="0" quotePrefix="0" xfId="0"/>
    <xf numFmtId="166" fontId="15" fillId="0" borderId="0" pivotButton="0" quotePrefix="0" xfId="0"/>
    <xf numFmtId="164" fontId="16" fillId="0" borderId="0" pivotButton="0" quotePrefix="0" xfId="0"/>
    <xf numFmtId="166" fontId="16" fillId="0" borderId="0" pivotButton="0" quotePrefix="0" xfId="0"/>
    <xf numFmtId="164" fontId="17" fillId="0" borderId="0" pivotButton="0" quotePrefix="0" xfId="0"/>
    <xf numFmtId="167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</cols>
  <sheetData>
    <row r="1" ht="30" customHeight="1">
      <c r="A1" s="25" t="inlineStr">
        <is>
          <t>HOTEL BRENDLE CASH-OUT REFINANCE</t>
        </is>
      </c>
    </row>
    <row r="2">
      <c r="A2" s="26" t="inlineStr">
        <is>
          <t>Loan Application Package - Prepared May 04, 2026</t>
        </is>
      </c>
    </row>
    <row r="4">
      <c r="A4" s="27" t="inlineStr">
        <is>
          <t>TRANSACTION OVERVIEW</t>
        </is>
      </c>
    </row>
    <row r="5">
      <c r="A5" s="28" t="inlineStr">
        <is>
          <t>Property:</t>
        </is>
      </c>
      <c r="B5" s="29" t="inlineStr">
        <is>
          <t>601 E Ave A, Robstown, TX 78380</t>
        </is>
      </c>
    </row>
    <row r="6">
      <c r="A6" s="28" t="inlineStr">
        <is>
          <t>Transaction Type:</t>
        </is>
      </c>
      <c r="B6" s="29" t="inlineStr">
        <is>
          <t>Cash-Out Refinance</t>
        </is>
      </c>
    </row>
    <row r="7">
      <c r="A7" s="28" t="inlineStr">
        <is>
          <t>Loan Amount:</t>
        </is>
      </c>
      <c r="B7" s="30" t="n">
        <v>850000</v>
      </c>
    </row>
    <row r="8">
      <c r="A8" s="28" t="inlineStr">
        <is>
          <t>Property Type:</t>
        </is>
      </c>
      <c r="B8" s="29" t="inlineStr">
        <is>
          <t>67-Room Historic Extended Stay Hotel</t>
        </is>
      </c>
    </row>
    <row r="9">
      <c r="A9" s="28" t="inlineStr">
        <is>
          <t>Current Status:</t>
        </is>
      </c>
      <c r="B9" s="29" t="inlineStr">
        <is>
          <t>24 rooms online, 18 occupied (75%)</t>
        </is>
      </c>
    </row>
    <row r="10">
      <c r="A10" s="28" t="inlineStr">
        <is>
          <t>Transaction Purpose:</t>
        </is>
      </c>
      <c r="B10" s="29" t="inlineStr">
        <is>
          <t>Renovate 43 rooms + upgrade amenities</t>
        </is>
      </c>
    </row>
    <row r="12">
      <c r="A12" s="31" t="inlineStr">
        <is>
          <t>KEY INVESTMENT METRICS (Year 3 Stabilized)</t>
        </is>
      </c>
    </row>
    <row r="13">
      <c r="A13" s="28" t="inlineStr">
        <is>
          <t>Stabilized Annual NOI:</t>
        </is>
      </c>
      <c r="B13" s="32">
        <f>'Annual Summary'!D6</f>
        <v/>
      </c>
      <c r="C13" s="33" t="inlineStr">
        <is>
          <t>Strong cash flow</t>
        </is>
      </c>
    </row>
    <row r="14">
      <c r="A14" s="28" t="inlineStr">
        <is>
          <t>Debt Service Coverage Ratio (DSCR):</t>
        </is>
      </c>
      <c r="B14" s="34">
        <f>'Annual Summary'!G6</f>
        <v/>
      </c>
      <c r="C14" s="33" t="inlineStr">
        <is>
          <t>Excellent coverage</t>
        </is>
      </c>
    </row>
    <row r="15">
      <c r="A15" s="28" t="inlineStr">
        <is>
          <t>Annual Cash Flow After Debt:</t>
        </is>
      </c>
      <c r="B15" s="32">
        <f>'Annual Summary'!F6</f>
        <v/>
      </c>
      <c r="C15" s="33" t="inlineStr">
        <is>
          <t>Positive Year 2+</t>
        </is>
      </c>
    </row>
    <row r="16">
      <c r="A16" s="28" t="inlineStr">
        <is>
          <t>Stabilized Property Value:</t>
        </is>
      </c>
      <c r="B16" s="32">
        <f>'Property Valuation'!B11</f>
        <v/>
      </c>
      <c r="C16" s="33" t="inlineStr">
        <is>
          <t>10% cap rate</t>
        </is>
      </c>
    </row>
    <row r="17">
      <c r="A17" s="28" t="inlineStr">
        <is>
          <t>Loan-to-Value (LTV):</t>
        </is>
      </c>
      <c r="B17" s="35">
        <f>'Property Valuation'!B16</f>
        <v/>
      </c>
      <c r="C17" s="33" t="inlineStr">
        <is>
          <t>Conservative</t>
        </is>
      </c>
    </row>
    <row r="18">
      <c r="A18" s="28" t="inlineStr">
        <is>
          <t>Owner Equity Position:</t>
        </is>
      </c>
      <c r="B18" s="32">
        <f>'Property Valuation'!B17</f>
        <v/>
      </c>
      <c r="C18" s="33" t="inlineStr">
        <is>
          <t>Strong equity</t>
        </is>
      </c>
    </row>
    <row r="20">
      <c r="A20" s="27" t="inlineStr">
        <is>
          <t>LOAN STRUCTURE &amp; TERMS</t>
        </is>
      </c>
    </row>
    <row r="21">
      <c r="A21" t="inlineStr">
        <is>
          <t>Loan Amount:</t>
        </is>
      </c>
      <c r="B21" s="30" t="n">
        <v>850000</v>
      </c>
    </row>
    <row r="22">
      <c r="A22" t="inlineStr">
        <is>
          <t>Interest Rate:</t>
        </is>
      </c>
      <c r="B22" s="36" t="n">
        <v>0.075</v>
      </c>
    </row>
    <row r="23">
      <c r="A23" t="inlineStr">
        <is>
          <t>Amortization:</t>
        </is>
      </c>
      <c r="B23" s="29" t="inlineStr">
        <is>
          <t>25 years</t>
        </is>
      </c>
    </row>
    <row r="24">
      <c r="A24" t="inlineStr">
        <is>
          <t>Monthly Payment (P&amp;I):</t>
        </is>
      </c>
      <c r="B24" s="37" t="n">
        <v>6281.43</v>
      </c>
    </row>
    <row r="25">
      <c r="A25" t="inlineStr">
        <is>
          <t>Annual Debt Service:</t>
        </is>
      </c>
      <c r="B25" s="30">
        <f>B24*12</f>
        <v/>
      </c>
    </row>
    <row r="27">
      <c r="A27" s="27" t="inlineStr">
        <is>
          <t>USE OF PROCEEDS</t>
        </is>
      </c>
    </row>
    <row r="28">
      <c r="A28" s="2" t="inlineStr">
        <is>
          <t>Category</t>
        </is>
      </c>
      <c r="B28" s="2" t="inlineStr">
        <is>
          <t>Amount</t>
        </is>
      </c>
      <c r="C28" s="2" t="inlineStr">
        <is>
          <t>% of Total</t>
        </is>
      </c>
    </row>
    <row r="29">
      <c r="A29" t="inlineStr">
        <is>
          <t>Existing Debt Payoff</t>
        </is>
      </c>
      <c r="B29" s="5" t="n">
        <v>150000</v>
      </c>
      <c r="C29" s="10">
        <f>B29/B$32</f>
        <v/>
      </c>
    </row>
    <row r="30">
      <c r="A30" t="inlineStr">
        <is>
          <t>Room Renovation (43 rooms)</t>
        </is>
      </c>
      <c r="B30" s="5">
        <f>'Sources &amp; Uses'!B9</f>
        <v/>
      </c>
      <c r="C30" s="10">
        <f>B30/B$33</f>
        <v/>
      </c>
    </row>
    <row r="31">
      <c r="A31" t="inlineStr">
        <is>
          <t>Contingency (10%)</t>
        </is>
      </c>
      <c r="B31" s="5">
        <f>'Sources &amp; Uses'!B10</f>
        <v/>
      </c>
      <c r="C31" s="10">
        <f>B31/B$34</f>
        <v/>
      </c>
    </row>
    <row r="32">
      <c r="A32" s="2" t="inlineStr">
        <is>
          <t>TOTAL USES</t>
        </is>
      </c>
      <c r="B32" s="30">
        <f>SUM(B29:B31)</f>
        <v/>
      </c>
      <c r="C32" s="29" t="inlineStr">
        <is>
          <t>100.0%</t>
        </is>
      </c>
    </row>
    <row r="34">
      <c r="A34" s="27" t="inlineStr">
        <is>
          <t>CURRENT OPERATIONS (April 2026 Baseline)</t>
        </is>
      </c>
    </row>
    <row r="35">
      <c r="A35" s="28" t="inlineStr">
        <is>
          <t>Occupied Rooms:</t>
        </is>
      </c>
      <c r="B35" s="29" t="n">
        <v>18</v>
      </c>
    </row>
    <row r="36">
      <c r="A36" s="28" t="inlineStr">
        <is>
          <t>Available Rooms:</t>
        </is>
      </c>
      <c r="B36" s="29" t="n">
        <v>24</v>
      </c>
    </row>
    <row r="37">
      <c r="A37" s="28" t="inlineStr">
        <is>
          <t>Occupancy Rate:</t>
        </is>
      </c>
      <c r="B37" s="38">
        <f>B33/B34</f>
        <v/>
      </c>
    </row>
    <row r="38">
      <c r="A38" s="28" t="inlineStr">
        <is>
          <t>Monthly Rent Revenue:</t>
        </is>
      </c>
      <c r="B38" s="30" t="n">
        <v>15340</v>
      </c>
    </row>
    <row r="39">
      <c r="A39" s="28" t="inlineStr">
        <is>
          <t>Annual Rent Revenue:</t>
        </is>
      </c>
      <c r="B39" s="30">
        <f>B35*12</f>
        <v/>
      </c>
    </row>
    <row r="40">
      <c r="A40" s="28" t="inlineStr">
        <is>
          <t>Annual NOI (Current):</t>
        </is>
      </c>
      <c r="B40" s="30">
        <f>'Current Operations'!B25</f>
        <v/>
      </c>
    </row>
    <row r="41">
      <c r="A41" s="27" t="inlineStr">
        <is>
          <t>STABILIZED PROJECTIONS (Year 3 Post-Renovation)</t>
        </is>
      </c>
    </row>
    <row r="42">
      <c r="A42" s="28" t="inlineStr">
        <is>
          <t>Total Rooms Available:</t>
        </is>
      </c>
      <c r="B42" s="29" t="n">
        <v>67</v>
      </c>
    </row>
    <row r="43">
      <c r="A43" s="28" t="inlineStr">
        <is>
          <t>Stabilized Occupancy:</t>
        </is>
      </c>
      <c r="B43" s="39" t="n">
        <v>0.8</v>
      </c>
    </row>
    <row r="44">
      <c r="A44" s="28" t="inlineStr">
        <is>
          <t>Stabilized Occupied Rooms:</t>
        </is>
      </c>
      <c r="B44" s="40">
        <f>B40*B41</f>
        <v/>
      </c>
    </row>
    <row r="45">
      <c r="A45" s="28" t="inlineStr">
        <is>
          <t>Average Rent per Room:</t>
        </is>
      </c>
      <c r="B45" s="30" t="n">
        <v>850</v>
      </c>
    </row>
    <row r="47">
      <c r="A47" s="28" t="inlineStr">
        <is>
          <t>Annual Room Revenue:</t>
        </is>
      </c>
      <c r="B47" s="30">
        <f>B40*B41*12</f>
        <v/>
      </c>
    </row>
    <row r="48">
      <c r="A48" s="28" t="inlineStr">
        <is>
          <t>Annual Laundry Revenue:</t>
        </is>
      </c>
      <c r="B48" s="30">
        <f>B39*1*4.3*4.50*12</f>
        <v/>
      </c>
    </row>
    <row r="49">
      <c r="A49" s="28" t="inlineStr">
        <is>
          <t>Total Annual Revenue:</t>
        </is>
      </c>
      <c r="B49" s="30">
        <f>B41+B42</f>
        <v/>
      </c>
    </row>
    <row r="50">
      <c r="A50" s="28" t="inlineStr">
        <is>
          <t>Annual Operating Expenses:</t>
        </is>
      </c>
      <c r="B50" s="30">
        <f>B35*344*12</f>
        <v/>
      </c>
    </row>
    <row r="51">
      <c r="A51" s="28" t="inlineStr">
        <is>
          <t>Net Operating Income (NOI):</t>
        </is>
      </c>
      <c r="B51" s="41">
        <f>B41-B42</f>
        <v/>
      </c>
    </row>
    <row r="52">
      <c r="A52" s="28" t="inlineStr">
        <is>
          <t>Annual Debt Service:</t>
        </is>
      </c>
      <c r="B52" s="30" t="n">
        <v>75377</v>
      </c>
    </row>
    <row r="53">
      <c r="A53" s="28" t="inlineStr">
        <is>
          <t>Annual Cash Flow:</t>
        </is>
      </c>
      <c r="B53" s="41">
        <f>B41-B42</f>
        <v/>
      </c>
    </row>
    <row r="54">
      <c r="A54" s="28" t="inlineStr">
        <is>
          <t>DSCR:</t>
        </is>
      </c>
      <c r="B54" s="42">
        <f>B40/B41</f>
        <v/>
      </c>
    </row>
    <row r="56">
      <c r="A56" s="27" t="inlineStr">
        <is>
          <t>REVENUE SOURCES (Year 3)</t>
        </is>
      </c>
    </row>
    <row r="57">
      <c r="A57" s="2" t="inlineStr">
        <is>
          <t>Source</t>
        </is>
      </c>
      <c r="B57" s="2" t="inlineStr">
        <is>
          <t>Annual Amount</t>
        </is>
      </c>
      <c r="C57" s="2" t="inlineStr">
        <is>
          <t>% of Total</t>
        </is>
      </c>
    </row>
    <row r="58">
      <c r="A58" t="inlineStr">
        <is>
          <t>Room Rental (67 rooms @ 80% occ)</t>
        </is>
      </c>
      <c r="B58" s="5">
        <f>'Annual Summary'!B6*0.978</f>
        <v/>
      </c>
      <c r="C58" s="10">
        <f>B58/B60</f>
        <v/>
      </c>
    </row>
    <row r="59">
      <c r="A59" t="inlineStr">
        <is>
          <t>Laundry Revenue (6 washers, 6 dryers)</t>
        </is>
      </c>
      <c r="B59" s="5">
        <f>'Annual Summary'!B6*0.022</f>
        <v/>
      </c>
      <c r="C59" s="10">
        <f>B59/B60</f>
        <v/>
      </c>
    </row>
    <row r="60">
      <c r="A60" s="2" t="inlineStr">
        <is>
          <t>Total Annual Revenue</t>
        </is>
      </c>
      <c r="B60" s="30">
        <f>SUM(B58:B59)</f>
        <v/>
      </c>
      <c r="C60" t="inlineStr">
        <is>
          <t>100.0%</t>
        </is>
      </c>
    </row>
    <row r="62">
      <c r="A62" s="27" t="inlineStr">
        <is>
          <t>10-YEAR FINANCIAL PERFORMANCE SUMMARY</t>
        </is>
      </c>
    </row>
    <row r="63">
      <c r="A63" s="2" t="inlineStr">
        <is>
          <t>Year</t>
        </is>
      </c>
      <c r="B63" s="2" t="inlineStr">
        <is>
          <t>NOI</t>
        </is>
      </c>
      <c r="C63" s="2" t="inlineStr">
        <is>
          <t>DSCR</t>
        </is>
      </c>
    </row>
    <row r="64">
      <c r="A64" t="inlineStr">
        <is>
          <t>Year 1</t>
        </is>
      </c>
      <c r="B64" s="5">
        <f>'Annual Summary'!D4</f>
        <v/>
      </c>
      <c r="C64" s="8">
        <f>'Annual Summary'!G4</f>
        <v/>
      </c>
    </row>
    <row r="65">
      <c r="A65" t="inlineStr">
        <is>
          <t>Year 2</t>
        </is>
      </c>
      <c r="B65" s="5">
        <f>'Annual Summary'!D5</f>
        <v/>
      </c>
      <c r="C65" s="8">
        <f>'Annual Summary'!G5</f>
        <v/>
      </c>
    </row>
    <row r="66">
      <c r="A66" s="4" t="inlineStr">
        <is>
          <t>Year 3</t>
        </is>
      </c>
      <c r="B66" s="43">
        <f>'Annual Summary'!D6</f>
        <v/>
      </c>
      <c r="C66" s="44">
        <f>'Annual Summary'!G6</f>
        <v/>
      </c>
    </row>
    <row r="67">
      <c r="A67" t="inlineStr">
        <is>
          <t>Year 4</t>
        </is>
      </c>
      <c r="B67" s="5">
        <f>'Annual Summary'!D7</f>
        <v/>
      </c>
      <c r="C67" s="8">
        <f>'Annual Summary'!G7</f>
        <v/>
      </c>
    </row>
    <row r="68">
      <c r="A68" t="inlineStr">
        <is>
          <t>Year 5</t>
        </is>
      </c>
      <c r="B68" s="5">
        <f>'Annual Summary'!D8</f>
        <v/>
      </c>
      <c r="C68" s="8">
        <f>'Annual Summary'!G8</f>
        <v/>
      </c>
    </row>
    <row r="69">
      <c r="A69" t="inlineStr">
        <is>
          <t>Year 6</t>
        </is>
      </c>
      <c r="B69" s="5">
        <f>'Annual Summary'!D9</f>
        <v/>
      </c>
      <c r="C69" s="8">
        <f>'Annual Summary'!G9</f>
        <v/>
      </c>
    </row>
    <row r="70">
      <c r="A70" t="inlineStr">
        <is>
          <t>Year 7</t>
        </is>
      </c>
      <c r="B70" s="5">
        <f>'Annual Summary'!D10</f>
        <v/>
      </c>
      <c r="C70" s="8">
        <f>'Annual Summary'!G10</f>
        <v/>
      </c>
    </row>
    <row r="71">
      <c r="A71" t="inlineStr">
        <is>
          <t>Year 8</t>
        </is>
      </c>
      <c r="B71" s="5">
        <f>'Annual Summary'!D11</f>
        <v/>
      </c>
      <c r="C71" s="8">
        <f>'Annual Summary'!G11</f>
        <v/>
      </c>
    </row>
    <row r="72">
      <c r="A72" t="inlineStr">
        <is>
          <t>Year 9</t>
        </is>
      </c>
      <c r="B72" s="5">
        <f>'Annual Summary'!D12</f>
        <v/>
      </c>
      <c r="C72" s="8">
        <f>'Annual Summary'!G12</f>
        <v/>
      </c>
    </row>
    <row r="73">
      <c r="A73" t="inlineStr">
        <is>
          <t>Year 10</t>
        </is>
      </c>
      <c r="B73" s="5">
        <f>'Annual Summary'!D13</f>
        <v/>
      </c>
      <c r="C73" s="8">
        <f>'Annual Summary'!G13</f>
        <v/>
      </c>
    </row>
    <row r="75">
      <c r="A75" s="27" t="inlineStr">
        <is>
          <t>PROPERTY VALUATION &amp; LOAN SECURITY</t>
        </is>
      </c>
    </row>
    <row r="76">
      <c r="A76" s="28" t="inlineStr">
        <is>
          <t>As-Is Value (current, 12% cap):</t>
        </is>
      </c>
      <c r="B76" s="30">
        <f>'Property Valuation'!B6</f>
        <v/>
      </c>
    </row>
    <row r="77">
      <c r="A77" s="28" t="inlineStr">
        <is>
          <t>Stabilized Value (Year 3, 10% cap):</t>
        </is>
      </c>
      <c r="B77" s="30">
        <f>'Property Valuation'!B11</f>
        <v/>
      </c>
    </row>
    <row r="78">
      <c r="A78" s="28" t="inlineStr">
        <is>
          <t>Value Creation:</t>
        </is>
      </c>
      <c r="B78" s="45">
        <f>B76-B75</f>
        <v/>
      </c>
    </row>
    <row r="80">
      <c r="A80" s="28" t="inlineStr">
        <is>
          <t>Loan Amount:</t>
        </is>
      </c>
      <c r="B80" s="30" t="n">
        <v>850000</v>
      </c>
    </row>
    <row r="81">
      <c r="A81" s="28" t="inlineStr">
        <is>
          <t>Stabilized Loan-to-Value:</t>
        </is>
      </c>
      <c r="B81" s="38">
        <f>'Property Valuation'!B16</f>
        <v/>
      </c>
    </row>
    <row r="82">
      <c r="A82" s="28" t="inlineStr">
        <is>
          <t>Owner Equity (at stabilization):</t>
        </is>
      </c>
      <c r="B82" s="30">
        <f>'Property Valuation'!B17</f>
        <v/>
      </c>
    </row>
    <row r="83">
      <c r="A83" s="28" t="inlineStr">
        <is>
          <t>Equity Position:</t>
        </is>
      </c>
      <c r="B83" s="46">
        <f>1-B75</f>
        <v/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SENSITIVITY ANALYSIS - DSCR SCENARIOS</t>
        </is>
      </c>
    </row>
    <row r="3">
      <c r="A3" s="19" t="inlineStr">
        <is>
          <t>Year 3 Stabilized Performance Under Various Scenarios</t>
        </is>
      </c>
    </row>
    <row r="5">
      <c r="A5" s="4" t="inlineStr">
        <is>
          <t>Scenario</t>
        </is>
      </c>
      <c r="B5" s="4" t="inlineStr">
        <is>
          <t>Occupancy</t>
        </is>
      </c>
      <c r="C5" s="4" t="inlineStr">
        <is>
          <t>Avg Rent</t>
        </is>
      </c>
      <c r="D5" s="4" t="inlineStr">
        <is>
          <t>Annual Revenue</t>
        </is>
      </c>
      <c r="E5" s="4" t="inlineStr">
        <is>
          <t>Annual Op Exp</t>
        </is>
      </c>
      <c r="F5" s="4" t="inlineStr">
        <is>
          <t>NOI</t>
        </is>
      </c>
      <c r="G5" s="4" t="inlineStr">
        <is>
          <t>Annual Debt Svc</t>
        </is>
      </c>
      <c r="H5" s="4" t="inlineStr">
        <is>
          <t>DSCR</t>
        </is>
      </c>
    </row>
    <row r="6">
      <c r="A6" t="inlineStr">
        <is>
          <t>Conservative</t>
        </is>
      </c>
      <c r="B6" s="16" t="n">
        <v>0.7</v>
      </c>
      <c r="C6" s="5" t="n">
        <v>800</v>
      </c>
      <c r="D6" s="5" t="n">
        <v>461130.18</v>
      </c>
      <c r="E6" s="5" t="n">
        <v>276576</v>
      </c>
      <c r="F6" s="5" t="n">
        <v>184554.18</v>
      </c>
      <c r="G6" s="5" t="n">
        <v>75377</v>
      </c>
      <c r="H6" s="11" t="n">
        <v>2.448415033763615</v>
      </c>
    </row>
    <row r="7">
      <c r="A7" s="20" t="inlineStr">
        <is>
          <t>Base Case</t>
        </is>
      </c>
      <c r="B7" s="21" t="n">
        <v>0.8</v>
      </c>
      <c r="C7" s="22" t="n">
        <v>850</v>
      </c>
      <c r="D7" s="22" t="n">
        <v>559165.92</v>
      </c>
      <c r="E7" s="22" t="n">
        <v>276576</v>
      </c>
      <c r="F7" s="22" t="n">
        <v>282589.92</v>
      </c>
      <c r="G7" s="22" t="n">
        <v>75377</v>
      </c>
      <c r="H7" s="23" t="n">
        <v>3.749020523501864</v>
      </c>
    </row>
    <row r="8">
      <c r="A8" t="inlineStr">
        <is>
          <t>Optimistic</t>
        </is>
      </c>
      <c r="B8" s="16" t="n">
        <v>0.9</v>
      </c>
      <c r="C8" s="5" t="n">
        <v>900</v>
      </c>
      <c r="D8" s="5" t="n">
        <v>665241.6600000001</v>
      </c>
      <c r="E8" s="5" t="n">
        <v>276576</v>
      </c>
      <c r="F8" s="5" t="n">
        <v>388665.6600000001</v>
      </c>
      <c r="G8" s="5" t="n">
        <v>75377</v>
      </c>
      <c r="H8" s="11" t="n">
        <v>5.156289849688899</v>
      </c>
    </row>
    <row r="11">
      <c r="A11" s="2" t="inlineStr">
        <is>
          <t>STRESS TEST SCENARIOS</t>
        </is>
      </c>
    </row>
    <row r="12">
      <c r="A12" s="4" t="inlineStr">
        <is>
          <t>Scenario</t>
        </is>
      </c>
      <c r="B12" s="4" t="inlineStr">
        <is>
          <t>Occupancy</t>
        </is>
      </c>
      <c r="C12" s="4" t="inlineStr">
        <is>
          <t>Avg Rent</t>
        </is>
      </c>
      <c r="D12" s="4" t="inlineStr">
        <is>
          <t>DSCR</t>
        </is>
      </c>
      <c r="E12" s="4" t="inlineStr">
        <is>
          <t>Pass/Fail</t>
        </is>
      </c>
    </row>
    <row r="13">
      <c r="A13" t="inlineStr">
        <is>
          <t>Severe Downturn</t>
        </is>
      </c>
      <c r="B13" s="16" t="n">
        <v>0.6</v>
      </c>
      <c r="C13" s="5" t="n">
        <v>750</v>
      </c>
      <c r="D13" s="11" t="n">
        <v>1.254473380474149</v>
      </c>
      <c r="E13" s="24" t="inlineStr">
        <is>
          <t>PASS</t>
        </is>
      </c>
    </row>
    <row r="14">
      <c r="A14" t="inlineStr">
        <is>
          <t>Moderate Stress</t>
        </is>
      </c>
      <c r="B14" s="16" t="n">
        <v>0.65</v>
      </c>
      <c r="C14" s="5" t="n">
        <v>775</v>
      </c>
      <c r="D14" s="11" t="n">
        <v>1.838111227562784</v>
      </c>
      <c r="E14" s="24" t="inlineStr">
        <is>
          <t>PASS</t>
        </is>
      </c>
    </row>
    <row r="15">
      <c r="A15" t="inlineStr">
        <is>
          <t>Mild Stress</t>
        </is>
      </c>
      <c r="B15" s="16" t="n">
        <v>0.7</v>
      </c>
      <c r="C15" s="5" t="n">
        <v>800</v>
      </c>
      <c r="D15" s="11" t="n">
        <v>2.448415033763615</v>
      </c>
      <c r="E15" s="2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ASSUMPTIONS &amp; METHODOLOGY</t>
        </is>
      </c>
    </row>
    <row r="3">
      <c r="A3" s="2" t="inlineStr">
        <is>
          <t>PROPERTY ASSUMPTIONS</t>
        </is>
      </c>
    </row>
    <row r="4">
      <c r="A4" t="inlineStr">
        <is>
          <t xml:space="preserve">  Total Rooms:</t>
        </is>
      </c>
      <c r="B4" t="inlineStr">
        <is>
          <t>67 rooms (historic hotel capacity)</t>
        </is>
      </c>
    </row>
    <row r="5">
      <c r="A5" t="inlineStr">
        <is>
          <t xml:space="preserve">  Currently Available:</t>
        </is>
      </c>
      <c r="B5" t="inlineStr">
        <is>
          <t>24 rooms (as of April 2026)</t>
        </is>
      </c>
    </row>
    <row r="6">
      <c r="A6" t="inlineStr">
        <is>
          <t xml:space="preserve">  Currently Occupied:</t>
        </is>
      </c>
      <c r="B6" t="inlineStr">
        <is>
          <t>18 rooms (75% of available)</t>
        </is>
      </c>
    </row>
    <row r="7">
      <c r="A7" t="inlineStr">
        <is>
          <t xml:space="preserve">  To Be Renovated:</t>
        </is>
      </c>
      <c r="B7" t="inlineStr">
        <is>
          <t>43 rooms (7 light, 36 full)</t>
        </is>
      </c>
    </row>
    <row r="8">
      <c r="A8" t="inlineStr">
        <is>
          <t xml:space="preserve">  Renovation Timeline:</t>
        </is>
      </c>
      <c r="B8" t="inlineStr">
        <is>
          <t>6 months from loan closing</t>
        </is>
      </c>
    </row>
    <row r="10">
      <c r="A10" s="2" t="inlineStr">
        <is>
          <t>REVENUE ASSUMPTIONS</t>
        </is>
      </c>
    </row>
    <row r="11">
      <c r="A11" t="inlineStr">
        <is>
          <t xml:space="preserve">  Average Rent:</t>
        </is>
      </c>
      <c r="B11" t="inlineStr">
        <is>
          <t>$850/month post-renovation (range: $700-$1,000)</t>
        </is>
      </c>
    </row>
    <row r="12">
      <c r="A12" t="inlineStr">
        <is>
          <t xml:space="preserve">  Current Rent:</t>
        </is>
      </c>
      <c r="B12" t="inlineStr">
        <is>
          <t>$640-$700/month (as of April 2026)</t>
        </is>
      </c>
    </row>
    <row r="13">
      <c r="A13" t="inlineStr">
        <is>
          <t xml:space="preserve">  Stabilized Occupancy:</t>
        </is>
      </c>
      <c r="B13" t="inlineStr">
        <is>
          <t>80% (conservative for extended stay market)</t>
        </is>
      </c>
    </row>
    <row r="14">
      <c r="A14" t="inlineStr">
        <is>
          <t xml:space="preserve">  Ramp-Up Period:</t>
        </is>
      </c>
      <c r="B14" t="inlineStr">
        <is>
          <t>12 months post-renovation to reach stabilized occupancy</t>
        </is>
      </c>
    </row>
    <row r="15">
      <c r="A15" t="inlineStr">
        <is>
          <t xml:space="preserve">  During Renovation Occupancy:</t>
        </is>
      </c>
      <c r="B15" t="inlineStr">
        <is>
          <t>75% of current baseline maintained</t>
        </is>
      </c>
    </row>
    <row r="16">
      <c r="A16" t="inlineStr">
        <is>
          <t xml:space="preserve">  Laundry Revenue:</t>
        </is>
      </c>
      <c r="B16" t="inlineStr">
        <is>
          <t>1.0 load per occupied room per week @ $4.50/load</t>
        </is>
      </c>
    </row>
    <row r="17">
      <c r="A17" t="inlineStr">
        <is>
          <t xml:space="preserve">  Laundry Equipment:</t>
        </is>
      </c>
      <c r="B17" t="inlineStr">
        <is>
          <t>6 commercial washers, 6 dryers</t>
        </is>
      </c>
    </row>
    <row r="19">
      <c r="A19" s="2" t="inlineStr">
        <is>
          <t>OPERATING EXPENSE ASSUMPTIONS</t>
        </is>
      </c>
    </row>
    <row r="20">
      <c r="A20" t="inlineStr">
        <is>
          <t xml:space="preserve">  Operating Expense per Room:</t>
        </is>
      </c>
      <c r="B20" t="inlineStr">
        <is>
          <t>$344/room/month (all-in)</t>
        </is>
      </c>
    </row>
    <row r="21">
      <c r="A21" t="inlineStr">
        <is>
          <t xml:space="preserve">  Includes:</t>
        </is>
      </c>
      <c r="B21" t="inlineStr">
        <is>
          <t>Payroll, property taxes, utilities, maintenance, insurance, supplies</t>
        </is>
      </c>
    </row>
    <row r="22">
      <c r="A22" t="inlineStr">
        <is>
          <t xml:space="preserve">  Basis:</t>
        </is>
      </c>
      <c r="B22" t="inlineStr">
        <is>
          <t>Q1 2026 actual expenses scaled to 67 rooms</t>
        </is>
      </c>
    </row>
    <row r="23">
      <c r="A23" t="inlineStr">
        <is>
          <t xml:space="preserve">  Payroll:</t>
        </is>
      </c>
      <c r="B23" t="inlineStr">
        <is>
          <t>$4,792/month average (Q1 2026)</t>
        </is>
      </c>
    </row>
    <row r="24">
      <c r="A24" t="inlineStr">
        <is>
          <t xml:space="preserve">  Property Taxes:</t>
        </is>
      </c>
      <c r="B24" t="inlineStr">
        <is>
          <t>$3,000/month ($36,000/year)</t>
        </is>
      </c>
    </row>
    <row r="25">
      <c r="A25" t="inlineStr">
        <is>
          <t xml:space="preserve">  Utilities:</t>
        </is>
      </c>
      <c r="B25" t="inlineStr">
        <is>
          <t>Electric, gas, water, sewer (~$2,300/month total)</t>
        </is>
      </c>
    </row>
    <row r="27">
      <c r="A27" s="2" t="inlineStr">
        <is>
          <t>RENOVATION COST ASSUMPTIONS</t>
        </is>
      </c>
    </row>
    <row r="28">
      <c r="A28" t="inlineStr">
        <is>
          <t xml:space="preserve">  Light Renovation:</t>
        </is>
      </c>
      <c r="B28" t="inlineStr">
        <is>
          <t>$1,217/room × 7 rooms = $8,519</t>
        </is>
      </c>
    </row>
    <row r="29">
      <c r="A29" t="inlineStr">
        <is>
          <t xml:space="preserve">  Full Renovation:</t>
        </is>
      </c>
      <c r="B29" t="inlineStr">
        <is>
          <t>$8,273/room × 36 rooms = $297,828</t>
        </is>
      </c>
    </row>
    <row r="30">
      <c r="A30" t="inlineStr">
        <is>
          <t xml:space="preserve">  Central HVAC System:</t>
        </is>
      </c>
      <c r="B30" t="inlineStr">
        <is>
          <t>$32,000 (20-ton central unit, ductwork, dampers)</t>
        </is>
      </c>
    </row>
    <row r="31">
      <c r="A31" t="inlineStr">
        <is>
          <t xml:space="preserve">  Extended Laundry Facility:</t>
        </is>
      </c>
      <c r="B31" t="inlineStr">
        <is>
          <t>$47,100 (6 washers, 6 dryers, installation)</t>
        </is>
      </c>
    </row>
    <row r="32">
      <c r="A32" t="inlineStr">
        <is>
          <t xml:space="preserve">  Extended Kitchen:</t>
        </is>
      </c>
      <c r="B32" t="inlineStr">
        <is>
          <t>$37,500 (commercial equipment, installation)</t>
        </is>
      </c>
    </row>
    <row r="33">
      <c r="A33" t="inlineStr">
        <is>
          <t xml:space="preserve">  Infrastructure/Jobsite:</t>
        </is>
      </c>
      <c r="B33" t="inlineStr">
        <is>
          <t>$25,000 (permits, tools, management)</t>
        </is>
      </c>
    </row>
    <row r="34">
      <c r="A34" t="inlineStr">
        <is>
          <t xml:space="preserve">  Subtotal:</t>
        </is>
      </c>
      <c r="B34" t="inlineStr">
        <is>
          <t>$448,347</t>
        </is>
      </c>
    </row>
    <row r="35">
      <c r="A35" t="inlineStr">
        <is>
          <t xml:space="preserve">  Contingency:</t>
        </is>
      </c>
      <c r="B35" t="inlineStr">
        <is>
          <t>$44,835 (10%)</t>
        </is>
      </c>
    </row>
    <row r="36">
      <c r="A36" t="inlineStr">
        <is>
          <t xml:space="preserve">  Total Renovation Budget:</t>
        </is>
      </c>
      <c r="B36" t="inlineStr">
        <is>
          <t>$493,182</t>
        </is>
      </c>
    </row>
    <row r="38">
      <c r="A38" s="2" t="inlineStr">
        <is>
          <t>LOAN ASSUMPTIONS</t>
        </is>
      </c>
    </row>
    <row r="39">
      <c r="A39" t="inlineStr">
        <is>
          <t xml:space="preserve">  Loan Amount:</t>
        </is>
      </c>
      <c r="B39" t="inlineStr">
        <is>
          <t>$850,000 (cash-out refinance)</t>
        </is>
      </c>
    </row>
    <row r="40">
      <c r="A40" t="inlineStr">
        <is>
          <t xml:space="preserve">  Use of Proceeds:</t>
        </is>
      </c>
      <c r="B40" t="inlineStr">
        <is>
          <t>$150k debt payoff + $493k renovation + $207k cushion</t>
        </is>
      </c>
    </row>
    <row r="41">
      <c r="A41" t="inlineStr">
        <is>
          <t xml:space="preserve">  Interest Rate:</t>
        </is>
      </c>
      <c r="B41" t="inlineStr">
        <is>
          <t>7.5% (30-year commercial mortgage rate)</t>
        </is>
      </c>
    </row>
    <row r="42">
      <c r="A42" t="inlineStr">
        <is>
          <t xml:space="preserve">  Amortization:</t>
        </is>
      </c>
      <c r="B42" t="inlineStr">
        <is>
          <t>25 years</t>
        </is>
      </c>
    </row>
    <row r="43">
      <c r="A43" t="inlineStr">
        <is>
          <t xml:space="preserve">  Monthly Payment:</t>
        </is>
      </c>
      <c r="B43" t="inlineStr">
        <is>
          <t>$6,281.43 (principal + interest)</t>
        </is>
      </c>
    </row>
    <row r="44">
      <c r="A44" t="inlineStr">
        <is>
          <t xml:space="preserve">  Annual Debt Service:</t>
        </is>
      </c>
      <c r="B44" t="inlineStr">
        <is>
          <t>$75,377</t>
        </is>
      </c>
    </row>
    <row r="45">
      <c r="A45" t="inlineStr">
        <is>
          <t xml:space="preserve">  Existing Debt:</t>
        </is>
      </c>
      <c r="B45" t="inlineStr">
        <is>
          <t>$141,000 (to be paid off at closing)</t>
        </is>
      </c>
    </row>
    <row r="47">
      <c r="A47" s="2" t="inlineStr">
        <is>
          <t>VALUATION ASSUMPTIONS</t>
        </is>
      </c>
    </row>
    <row r="48">
      <c r="A48" t="inlineStr">
        <is>
          <t xml:space="preserve">  As-Is Cap Rate:</t>
        </is>
      </c>
      <c r="B48" t="inlineStr">
        <is>
          <t>12% (reflects current occupancy and condition)</t>
        </is>
      </c>
    </row>
    <row r="49">
      <c r="A49" t="inlineStr">
        <is>
          <t xml:space="preserve">  Stabilized Cap Rate:</t>
        </is>
      </c>
      <c r="B49" t="inlineStr">
        <is>
          <t>10% (post-renovation, stabilized occupancy)</t>
        </is>
      </c>
    </row>
    <row r="50">
      <c r="A50" t="inlineStr">
        <is>
          <t xml:space="preserve">  As-Is NOI:</t>
        </is>
      </c>
      <c r="B50" t="inlineStr">
        <is>
          <t>~$85,000/year (current operations)</t>
        </is>
      </c>
    </row>
    <row r="51">
      <c r="A51" t="inlineStr">
        <is>
          <t xml:space="preserve">  Stabilized NOI:</t>
        </is>
      </c>
      <c r="B51" t="inlineStr">
        <is>
          <t>~$287,000/year (Year 3)</t>
        </is>
      </c>
    </row>
    <row r="52">
      <c r="A52" t="inlineStr">
        <is>
          <t xml:space="preserve">  Stabilized Value:</t>
        </is>
      </c>
      <c r="B52" t="inlineStr">
        <is>
          <t>$2,870,000 (Year 3, 10% cap rate)</t>
        </is>
      </c>
    </row>
    <row r="53">
      <c r="A53" t="inlineStr">
        <is>
          <t xml:space="preserve">  Loan-to-Value:</t>
        </is>
      </c>
      <c r="B53" t="inlineStr">
        <is>
          <t>~30% (conservative, strong equity position)</t>
        </is>
      </c>
    </row>
    <row r="55">
      <c r="A55" s="2" t="inlineStr">
        <is>
          <t>METHODOLOGY NOTES</t>
        </is>
      </c>
    </row>
    <row r="56">
      <c r="A56" t="inlineStr">
        <is>
          <t xml:space="preserve">  Occupancy Ramp:</t>
        </is>
      </c>
      <c r="B56" t="inlineStr">
        <is>
          <t>Modeled as gradual increase from 70% to 80% over 12 months post-renovation</t>
        </is>
      </c>
    </row>
    <row r="57">
      <c r="A57" t="inlineStr">
        <is>
          <t xml:space="preserve">  Seasonality:</t>
        </is>
      </c>
      <c r="B57" t="inlineStr">
        <is>
          <t>Not modeled - extended stay market has minimal seasonal variation</t>
        </is>
      </c>
    </row>
    <row r="58">
      <c r="A58" t="inlineStr">
        <is>
          <t xml:space="preserve">  Vacancy Allowance:</t>
        </is>
      </c>
      <c r="B58" t="inlineStr">
        <is>
          <t>Built into 80% stabilized occupancy assumption</t>
        </is>
      </c>
    </row>
    <row r="59">
      <c r="A59" t="inlineStr">
        <is>
          <t xml:space="preserve">  Bad Debt:</t>
        </is>
      </c>
      <c r="B59" t="inlineStr">
        <is>
          <t>Not separately modeled - included in occupancy assumption</t>
        </is>
      </c>
    </row>
    <row r="60">
      <c r="A60" t="inlineStr">
        <is>
          <t xml:space="preserve">  CapEx Reserve:</t>
        </is>
      </c>
      <c r="B60" t="inlineStr">
        <is>
          <t>Not included in operating expenses - renovation addresses deferred maintenance</t>
        </is>
      </c>
    </row>
    <row r="61">
      <c r="A61" t="inlineStr">
        <is>
          <t xml:space="preserve">  Grant Funding:</t>
        </is>
      </c>
      <c r="B61" t="inlineStr">
        <is>
          <t>40% renovation grant ($240k potential) mentioned but NOT assumed in projections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2026-05-04T20:40:09Z</dcterms:modified>
</cp:coreProperties>
</file>