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us" sheetId="1" r:id="rId5"/>
    <sheet state="visible" name="January" sheetId="2" r:id="rId6"/>
    <sheet state="visible" name="February" sheetId="3" r:id="rId7"/>
    <sheet state="visible" name="March" sheetId="4" r:id="rId8"/>
    <sheet state="visible" name="April_1" sheetId="5" r:id="rId9"/>
    <sheet state="visible" name="May_2025" sheetId="6" r:id="rId10"/>
    <sheet state="visible" name="June_2025" sheetId="7" r:id="rId11"/>
    <sheet state="visible" name="july_2025" sheetId="8" r:id="rId12"/>
    <sheet state="visible" name="August_2025" sheetId="9" r:id="rId13"/>
    <sheet state="visible" name="September_2025" sheetId="10" r:id="rId14"/>
    <sheet state="visible" name="October_2025" sheetId="11" r:id="rId15"/>
    <sheet state="visible" name="November_2025" sheetId="12" r:id="rId16"/>
    <sheet state="visible" name="December_2025" sheetId="13" r:id="rId17"/>
    <sheet state="visible" name="January_2026" sheetId="14" r:id="rId18"/>
    <sheet state="visible" name="February_2026" sheetId="15" r:id="rId19"/>
    <sheet state="visible" name="March_2026" sheetId="16" r:id="rId20"/>
    <sheet state="visible" name="April_2026" sheetId="17" r:id="rId21"/>
    <sheet state="visible" name="May_2026" sheetId="18" r:id="rId22"/>
    <sheet state="visible" name="General Information" sheetId="19" r:id="rId23"/>
    <sheet state="visible" name="Expenses" sheetId="20" r:id="rId24"/>
    <sheet state="visible" name="Purchasing" sheetId="21" r:id="rId25"/>
    <sheet state="visible" name="Payroll" sheetId="22" r:id="rId26"/>
    <sheet state="visible" name="Tenant Application Info" sheetId="23" r:id="rId27"/>
  </sheets>
  <definedNames/>
  <calcPr/>
</workbook>
</file>

<file path=xl/sharedStrings.xml><?xml version="1.0" encoding="utf-8"?>
<sst xmlns="http://schemas.openxmlformats.org/spreadsheetml/2006/main" count="3292" uniqueCount="681">
  <si>
    <t>/</t>
  </si>
  <si>
    <t>Status</t>
  </si>
  <si>
    <t>rent</t>
  </si>
  <si>
    <t>Occupied</t>
  </si>
  <si>
    <t>Rent Ready</t>
  </si>
  <si>
    <t>Waiting List</t>
  </si>
  <si>
    <t>Occupant</t>
  </si>
  <si>
    <t>Notes</t>
  </si>
  <si>
    <t>y</t>
  </si>
  <si>
    <t>Joy</t>
  </si>
  <si>
    <t>Patrick Blasingme</t>
  </si>
  <si>
    <t>n</t>
  </si>
  <si>
    <t>Hope?</t>
  </si>
  <si>
    <t>Rolando Benavides</t>
  </si>
  <si>
    <t>James Hruska</t>
  </si>
  <si>
    <t>Mollie Moses</t>
  </si>
  <si>
    <t>Y</t>
  </si>
  <si>
    <t>David and Laura?</t>
  </si>
  <si>
    <t>Dennis</t>
  </si>
  <si>
    <t>Christi Mcginis</t>
  </si>
  <si>
    <t>v</t>
  </si>
  <si>
    <t>Luis Lira</t>
  </si>
  <si>
    <t>Richard Ramon</t>
  </si>
  <si>
    <t>Daniel Yturia</t>
  </si>
  <si>
    <t>Antonio</t>
  </si>
  <si>
    <t>robby lee garza</t>
  </si>
  <si>
    <t>Raul</t>
  </si>
  <si>
    <t>Juan Martinez</t>
  </si>
  <si>
    <t>Albert Rojas</t>
  </si>
  <si>
    <t>Paul Bridgman</t>
  </si>
  <si>
    <t>Marcus</t>
  </si>
  <si>
    <t>Angel</t>
  </si>
  <si>
    <t>Totals</t>
  </si>
  <si>
    <t>Income</t>
  </si>
  <si>
    <t>Expenses</t>
  </si>
  <si>
    <t>Net Total</t>
  </si>
  <si>
    <t>room #</t>
  </si>
  <si>
    <t>name</t>
  </si>
  <si>
    <t>period</t>
  </si>
  <si>
    <t>past due</t>
  </si>
  <si>
    <t>#of people</t>
  </si>
  <si>
    <t>Due</t>
  </si>
  <si>
    <t>paid</t>
  </si>
  <si>
    <t>balance due</t>
  </si>
  <si>
    <t>date paid</t>
  </si>
  <si>
    <t>reciept #</t>
  </si>
  <si>
    <t>Renuals</t>
  </si>
  <si>
    <t>Guest</t>
  </si>
  <si>
    <t>LeslieA Rodriguez</t>
  </si>
  <si>
    <t>640/ 160</t>
  </si>
  <si>
    <t>320/160</t>
  </si>
  <si>
    <t>1/31 2/7 2/14/ 2/22</t>
  </si>
  <si>
    <t>1230/ 1233/1255/1260</t>
  </si>
  <si>
    <t xml:space="preserve">ca </t>
  </si>
  <si>
    <t>Arnold Rios</t>
  </si>
  <si>
    <t>640/</t>
  </si>
  <si>
    <t>1/31 2/7 2/14</t>
  </si>
  <si>
    <t>1227/1238/ 1253</t>
  </si>
  <si>
    <t>ca</t>
  </si>
  <si>
    <t>1/31/ 2/19</t>
  </si>
  <si>
    <t>1225/ 1251</t>
  </si>
  <si>
    <t>Luis Salinas</t>
  </si>
  <si>
    <t>Rodney Ray Roberson</t>
  </si>
  <si>
    <t>2/4/ 2/14</t>
  </si>
  <si>
    <t>1232/1247/</t>
  </si>
  <si>
    <t>1263/1264</t>
  </si>
  <si>
    <t>mollie moses</t>
  </si>
  <si>
    <t>620/</t>
  </si>
  <si>
    <t>20/</t>
  </si>
  <si>
    <t>mo</t>
  </si>
  <si>
    <t>Matilda Ramsey</t>
  </si>
  <si>
    <t>Marcus Reynolds</t>
  </si>
  <si>
    <t>1/31 / 2/14</t>
  </si>
  <si>
    <t>1221/ 1244</t>
  </si>
  <si>
    <t xml:space="preserve">150/ </t>
  </si>
  <si>
    <t>01/31/ 2/7/ 2/14/2/21</t>
  </si>
  <si>
    <t>1222/ 1236/1243/1258</t>
  </si>
  <si>
    <t>Marrcial Barrentos</t>
  </si>
  <si>
    <t>1/31 /2/14</t>
  </si>
  <si>
    <t xml:space="preserve">1224/ 1248 </t>
  </si>
  <si>
    <t>cashapp</t>
  </si>
  <si>
    <t>Iris Bodeman</t>
  </si>
  <si>
    <t>Austin Garcia</t>
  </si>
  <si>
    <t>1/31/ 2/14</t>
  </si>
  <si>
    <t>1224/ 1248</t>
  </si>
  <si>
    <t>160/</t>
  </si>
  <si>
    <t>1/31/ 2/7 2/14/ 2/21</t>
  </si>
  <si>
    <t>1226/ 1241/1245/1257</t>
  </si>
  <si>
    <t>Mark Anthony Conchola</t>
  </si>
  <si>
    <t>240/</t>
  </si>
  <si>
    <t>2/14/ 2/27</t>
  </si>
  <si>
    <t>1250/ 1265/</t>
  </si>
  <si>
    <t>Randy Ramon</t>
  </si>
  <si>
    <t>Christopher J. Hodge</t>
  </si>
  <si>
    <t xml:space="preserve">1/30/ 2/7 2/14 2/21 </t>
  </si>
  <si>
    <t>1218/ 1235/ 1249/1252</t>
  </si>
  <si>
    <t>Marcilda A.Herndez</t>
  </si>
  <si>
    <t xml:space="preserve">820/ </t>
  </si>
  <si>
    <t xml:space="preserve">600/ </t>
  </si>
  <si>
    <t>1262/</t>
  </si>
  <si>
    <t xml:space="preserve">ca/ </t>
  </si>
  <si>
    <t>albert norman rojas3rd</t>
  </si>
  <si>
    <t>150/</t>
  </si>
  <si>
    <t>1/31/ 2/7 2/14 2/21</t>
  </si>
  <si>
    <t>1229/ 1239/1246</t>
  </si>
  <si>
    <t>Juan Jesus Aguliar</t>
  </si>
  <si>
    <t>1229/1239/1246/1259</t>
  </si>
  <si>
    <t>Robert chamblee</t>
  </si>
  <si>
    <t>1/31/ 2/7/ 2/14/</t>
  </si>
  <si>
    <t>1220/ 1237/1242/</t>
  </si>
  <si>
    <t>dates paid</t>
  </si>
  <si>
    <t>1/31 2/7 2/14 2/22</t>
  </si>
  <si>
    <t>2/4/ 2/14/</t>
  </si>
  <si>
    <t>1232/1247/1299</t>
  </si>
  <si>
    <t>ca/cash/</t>
  </si>
  <si>
    <t>1/31/ 2/7/ 2/14/2/21</t>
  </si>
  <si>
    <t>Steven Hoffman</t>
  </si>
  <si>
    <t>2/28/ 3/10</t>
  </si>
  <si>
    <t>1273/ 1290/</t>
  </si>
  <si>
    <t xml:space="preserve">cash </t>
  </si>
  <si>
    <t>Type</t>
  </si>
  <si>
    <t>Amount</t>
  </si>
  <si>
    <t>Payroll</t>
  </si>
  <si>
    <t>Taxes</t>
  </si>
  <si>
    <t>Electric</t>
  </si>
  <si>
    <t>Gas</t>
  </si>
  <si>
    <t>Sewer</t>
  </si>
  <si>
    <t>Trash</t>
  </si>
  <si>
    <t>Water</t>
  </si>
  <si>
    <t>Consumables</t>
  </si>
  <si>
    <t>c</t>
  </si>
  <si>
    <t>2/28 3/9/3/14/3/21</t>
  </si>
  <si>
    <t>1278/1288/1303/1315</t>
  </si>
  <si>
    <t>money order/cashapp/cashapp</t>
  </si>
  <si>
    <t>2/28/ 3/14/</t>
  </si>
  <si>
    <t>1271/ 1312</t>
  </si>
  <si>
    <t>ca/ca</t>
  </si>
  <si>
    <t>15 credit</t>
  </si>
  <si>
    <t>2/21/</t>
  </si>
  <si>
    <t>1313/</t>
  </si>
  <si>
    <t>cash</t>
  </si>
  <si>
    <t>Martin Castillo</t>
  </si>
  <si>
    <t>3/13/ 3/21</t>
  </si>
  <si>
    <t>1292/ 1314/</t>
  </si>
  <si>
    <t>Cash/ cash/</t>
  </si>
  <si>
    <t>Angela</t>
  </si>
  <si>
    <t>epifanio trujillo 3rd</t>
  </si>
  <si>
    <t>3/7/3/14/ 3/21/3/31</t>
  </si>
  <si>
    <t>1284/1301/1320/1332/</t>
  </si>
  <si>
    <t>ca/cashapp/cash/cash/cash</t>
  </si>
  <si>
    <t>Adam crum</t>
  </si>
  <si>
    <t>3/13/ 3/28</t>
  </si>
  <si>
    <t>1294/ 1323/</t>
  </si>
  <si>
    <t>cashapp/cashapp</t>
  </si>
  <si>
    <t>4/11/4/18/4/25</t>
  </si>
  <si>
    <t>1358/1369/</t>
  </si>
  <si>
    <t>cash/cash/</t>
  </si>
  <si>
    <t>2/28/ 3/14</t>
  </si>
  <si>
    <t>1275/ 1300</t>
  </si>
  <si>
    <t>cash/cash</t>
  </si>
  <si>
    <t>3/7/ 3/10</t>
  </si>
  <si>
    <t>1287/ 1289/</t>
  </si>
  <si>
    <t>2/28/3/14</t>
  </si>
  <si>
    <t>1277/ 1295/</t>
  </si>
  <si>
    <t>2/28/ 3/7/ 3/14/3/21</t>
  </si>
  <si>
    <t>1272/ 1283/1296/1319</t>
  </si>
  <si>
    <t>cash/cash/cash/cash</t>
  </si>
  <si>
    <t>3/14/ 3/21</t>
  </si>
  <si>
    <t>1309/1316/</t>
  </si>
  <si>
    <t>cash/ cash/</t>
  </si>
  <si>
    <t>3/14/</t>
  </si>
  <si>
    <t>1280/</t>
  </si>
  <si>
    <t>2/27/ 3/14</t>
  </si>
  <si>
    <t>1266/1298/</t>
  </si>
  <si>
    <t>cash app/cashapp</t>
  </si>
  <si>
    <t>2/28/ 3/7/3/21/3/28</t>
  </si>
  <si>
    <t>1276/ 1286/1317/1330</t>
  </si>
  <si>
    <t xml:space="preserve"> cash/ cash/cash/cash/</t>
  </si>
  <si>
    <t>juan carlos fonseca</t>
  </si>
  <si>
    <t>2/17/</t>
  </si>
  <si>
    <t>1305/</t>
  </si>
  <si>
    <t>3/28/</t>
  </si>
  <si>
    <t>1329/</t>
  </si>
  <si>
    <t>laura elizondo</t>
  </si>
  <si>
    <t>2 /28/ 3/6 3.13/3/21/</t>
  </si>
  <si>
    <t>1269/ 1282/1293/1311/</t>
  </si>
  <si>
    <t>cash/ cashapp/ cashapp/cash/</t>
  </si>
  <si>
    <t>cash/ cashapp</t>
  </si>
  <si>
    <t>50 credit</t>
  </si>
  <si>
    <t>2/21/ 3/7</t>
  </si>
  <si>
    <t>1256/ 1308</t>
  </si>
  <si>
    <t>mo/mo/</t>
  </si>
  <si>
    <t>2/28/3/14/3/21</t>
  </si>
  <si>
    <t>1279/ 1304/1318/</t>
  </si>
  <si>
    <t>2/28/ 3/7/3/14</t>
  </si>
  <si>
    <t>1270/ 1285/1297/</t>
  </si>
  <si>
    <t>ca/mo</t>
  </si>
  <si>
    <t>Hotel Totals</t>
  </si>
  <si>
    <t>Item</t>
  </si>
  <si>
    <t>Expanded Payroll</t>
  </si>
  <si>
    <t>Total</t>
  </si>
  <si>
    <t>Danny</t>
  </si>
  <si>
    <t>Orlando</t>
  </si>
  <si>
    <t>Lee</t>
  </si>
  <si>
    <t>Chance</t>
  </si>
  <si>
    <t>Dane</t>
  </si>
  <si>
    <t>Hope</t>
  </si>
  <si>
    <t>Capital Expendatures</t>
  </si>
  <si>
    <t xml:space="preserve">Various </t>
  </si>
  <si>
    <t>Various Expanded</t>
  </si>
  <si>
    <t>Place</t>
  </si>
  <si>
    <t>Purpose</t>
  </si>
  <si>
    <t>Walmart</t>
  </si>
  <si>
    <t>Office</t>
  </si>
  <si>
    <t>Income Total</t>
  </si>
  <si>
    <t>Optimum RV</t>
  </si>
  <si>
    <t>Housing</t>
  </si>
  <si>
    <t>Expenses Total</t>
  </si>
  <si>
    <t>Home Depot</t>
  </si>
  <si>
    <t>Materials</t>
  </si>
  <si>
    <t>QT</t>
  </si>
  <si>
    <t>Net</t>
  </si>
  <si>
    <t>Stripes</t>
  </si>
  <si>
    <t>Piot</t>
  </si>
  <si>
    <t>Geico</t>
  </si>
  <si>
    <t>Insurance</t>
  </si>
  <si>
    <t>Lyft</t>
  </si>
  <si>
    <t>Transport</t>
  </si>
  <si>
    <t>Honda SM</t>
  </si>
  <si>
    <t>Pilot</t>
  </si>
  <si>
    <t>Oreilly</t>
  </si>
  <si>
    <t>Auto Parts</t>
  </si>
  <si>
    <t>Chick- fil-A</t>
  </si>
  <si>
    <t>Meeting</t>
  </si>
  <si>
    <t>Frost</t>
  </si>
  <si>
    <t>Acquisition</t>
  </si>
  <si>
    <t>El Centro Landfill</t>
  </si>
  <si>
    <t>Robstown Food Mart</t>
  </si>
  <si>
    <t>Harbor Freight</t>
  </si>
  <si>
    <t>Tools</t>
  </si>
  <si>
    <t>Advanced</t>
  </si>
  <si>
    <t>HEB</t>
  </si>
  <si>
    <t>Wire Fee</t>
  </si>
  <si>
    <t>Rockin D Rolloffs</t>
  </si>
  <si>
    <t>Corridor Title Company</t>
  </si>
  <si>
    <t>Column 1</t>
  </si>
  <si>
    <t>Pay Schedule</t>
  </si>
  <si>
    <t>date paid2</t>
  </si>
  <si>
    <t>reciept num 2</t>
  </si>
  <si>
    <t>W</t>
  </si>
  <si>
    <t>3/28/ 4/4/ 4/11/4/18/</t>
  </si>
  <si>
    <t>1322/1342/1359/1367/</t>
  </si>
  <si>
    <t>cashapp/cashapp/</t>
  </si>
  <si>
    <t>M</t>
  </si>
  <si>
    <t>102b</t>
  </si>
  <si>
    <t>3/31/</t>
  </si>
  <si>
    <t>1331/</t>
  </si>
  <si>
    <t>4/1/ 4/17/</t>
  </si>
  <si>
    <t>1336/ 1362/</t>
  </si>
  <si>
    <t>4/7/ 4/17/</t>
  </si>
  <si>
    <t>1350/ 1363/</t>
  </si>
  <si>
    <t>4/8/ 4/25/</t>
  </si>
  <si>
    <t>1351/ 1371/</t>
  </si>
  <si>
    <t>cashapp/ cashapp/</t>
  </si>
  <si>
    <t>3/28/4/3/4-28-25</t>
  </si>
  <si>
    <t xml:space="preserve">1323/1340/1377/ </t>
  </si>
  <si>
    <t>2W</t>
  </si>
  <si>
    <t xml:space="preserve">4-15-25/ </t>
  </si>
  <si>
    <t>1321/1360/</t>
  </si>
  <si>
    <t>3/17/3/20</t>
  </si>
  <si>
    <t>1302/ 1306/</t>
  </si>
  <si>
    <t>1328/</t>
  </si>
  <si>
    <t>mo/cashapp</t>
  </si>
  <si>
    <t>change his paid period</t>
  </si>
  <si>
    <t>4/1/ 4/16/</t>
  </si>
  <si>
    <t>1333/ 1361/</t>
  </si>
  <si>
    <t>3/28/4/4/4/11/4/18/</t>
  </si>
  <si>
    <t>1326/1349/1352/1366/</t>
  </si>
  <si>
    <t>cash/cash/cash/cash/</t>
  </si>
  <si>
    <t>cash/</t>
  </si>
  <si>
    <t>3/28/ 4/11</t>
  </si>
  <si>
    <t>1324/ 1353/</t>
  </si>
  <si>
    <t>220b</t>
  </si>
  <si>
    <t>mark duran</t>
  </si>
  <si>
    <t>moved out 4/425</t>
  </si>
  <si>
    <t>1330/</t>
  </si>
  <si>
    <t>1325/ 1343/1368/</t>
  </si>
  <si>
    <t>100$ for refering rm 109</t>
  </si>
  <si>
    <t>4/2/4/4</t>
  </si>
  <si>
    <t>1339/1327/</t>
  </si>
  <si>
    <t>1346/</t>
  </si>
  <si>
    <t>3/20/4/3</t>
  </si>
  <si>
    <t>.1310/ 1341/</t>
  </si>
  <si>
    <t>mo/ mo/</t>
  </si>
  <si>
    <t>4/1/4/11</t>
  </si>
  <si>
    <t>1337/1357/</t>
  </si>
  <si>
    <t>1327/1346/1355/1365/</t>
  </si>
  <si>
    <t>Roy</t>
  </si>
  <si>
    <t>Amazon</t>
  </si>
  <si>
    <t>Mini Fridge</t>
  </si>
  <si>
    <t>Beframe</t>
  </si>
  <si>
    <t>date paid 2</t>
  </si>
  <si>
    <t>recept num 2</t>
  </si>
  <si>
    <t>4-25-25/ 5-2-25/</t>
  </si>
  <si>
    <t>1370/ 1392/8403/</t>
  </si>
  <si>
    <t>Stop putting multiple dates in here danny, i have asked this numerous times</t>
  </si>
  <si>
    <t>Adam Crum</t>
  </si>
  <si>
    <t xml:space="preserve">5-2-25/ </t>
  </si>
  <si>
    <t>1385/8411/</t>
  </si>
  <si>
    <t>5-2-25/</t>
  </si>
  <si>
    <t xml:space="preserve">1387/ </t>
  </si>
  <si>
    <t>4-25-25/ 5-6-25</t>
  </si>
  <si>
    <t xml:space="preserve">1371/ </t>
  </si>
  <si>
    <t>myra</t>
  </si>
  <si>
    <t>esteban benavdez</t>
  </si>
  <si>
    <t>1390/</t>
  </si>
  <si>
    <t>change his paid period -- to what???</t>
  </si>
  <si>
    <t>5-1-25/</t>
  </si>
  <si>
    <t>1379/ 8402</t>
  </si>
  <si>
    <t>4-25-25/ 5-2/25/</t>
  </si>
  <si>
    <t>1374/ 1386/8406/</t>
  </si>
  <si>
    <t>James Doe</t>
  </si>
  <si>
    <t xml:space="preserve">4-25-25/ </t>
  </si>
  <si>
    <t>1372/8404/</t>
  </si>
  <si>
    <t>8405/</t>
  </si>
  <si>
    <t>Anthony Garcia</t>
  </si>
  <si>
    <t>w</t>
  </si>
  <si>
    <t>1373/1399/8408/</t>
  </si>
  <si>
    <t xml:space="preserve">5-1-25/ </t>
  </si>
  <si>
    <t xml:space="preserve">1383/ </t>
  </si>
  <si>
    <t xml:space="preserve">money order </t>
  </si>
  <si>
    <t>1375/ 1388/ 8407</t>
  </si>
  <si>
    <t>Bedframe</t>
  </si>
  <si>
    <t>reciept#2</t>
  </si>
  <si>
    <t>date paid 3</t>
  </si>
  <si>
    <t>recipt# 3</t>
  </si>
  <si>
    <t>date paid 4</t>
  </si>
  <si>
    <t>reciept# 4</t>
  </si>
  <si>
    <t>Roy Hodge</t>
  </si>
  <si>
    <t>dennis garcia</t>
  </si>
  <si>
    <t>esteban benvidez</t>
  </si>
  <si>
    <t>money order</t>
  </si>
  <si>
    <t xml:space="preserve">juan martinez </t>
  </si>
  <si>
    <t>chime</t>
  </si>
  <si>
    <t xml:space="preserve">James </t>
  </si>
  <si>
    <t>Mark Duran</t>
  </si>
  <si>
    <t>esperanza delion</t>
  </si>
  <si>
    <t>Expected</t>
  </si>
  <si>
    <t>Actual</t>
  </si>
  <si>
    <t>Car insurance</t>
  </si>
  <si>
    <t>Ally Financial</t>
  </si>
  <si>
    <t>Car payment</t>
  </si>
  <si>
    <t>chris garcia</t>
  </si>
  <si>
    <t xml:space="preserve">momeyorder </t>
  </si>
  <si>
    <t>juan martinez</t>
  </si>
  <si>
    <t xml:space="preserve">cashapp </t>
  </si>
  <si>
    <t>Jose Scott jr.</t>
  </si>
  <si>
    <t xml:space="preserve"> </t>
  </si>
  <si>
    <t>\</t>
  </si>
  <si>
    <t>cc debt</t>
  </si>
  <si>
    <t>snap finance</t>
  </si>
  <si>
    <t>420783809300120817000011046858</t>
  </si>
  <si>
    <t>Esperanza DeLeon</t>
  </si>
  <si>
    <t>David Lee Herrera</t>
  </si>
  <si>
    <t>Laura Landeros</t>
  </si>
  <si>
    <t>Jose Scott</t>
  </si>
  <si>
    <t>--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</si>
  <si>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</si>
  <si>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Amount Paid</t>
  </si>
  <si>
    <t>Worked Off Debt of 800</t>
  </si>
  <si>
    <t>Angel Herrera</t>
  </si>
  <si>
    <t>worked off 200</t>
  </si>
  <si>
    <t>Salvador Garcia</t>
  </si>
  <si>
    <t>Moved out</t>
  </si>
  <si>
    <t>Mike</t>
  </si>
  <si>
    <t>Coon</t>
  </si>
  <si>
    <t>James</t>
  </si>
  <si>
    <t>Cleaning</t>
  </si>
  <si>
    <t xml:space="preserve">  </t>
  </si>
  <si>
    <t>Allyssa</t>
  </si>
  <si>
    <t>trash</t>
  </si>
  <si>
    <t>various</t>
  </si>
  <si>
    <t>Carried Balance</t>
  </si>
  <si>
    <t>01/02,01/30,,8/1/2025</t>
  </si>
  <si>
    <t>#8762,#8793,87938530</t>
  </si>
  <si>
    <t>Esperanza De Leon</t>
  </si>
  <si>
    <t>#8766</t>
  </si>
  <si>
    <t>01/03/2026,7-25-2025</t>
  </si>
  <si>
    <t>#8765,8525</t>
  </si>
  <si>
    <t>David Herrera and Laura</t>
  </si>
  <si>
    <t>01/02,01/27,</t>
  </si>
  <si>
    <t>#8769,#8791,</t>
  </si>
  <si>
    <t>Dennis Garcia</t>
  </si>
  <si>
    <t>12/27/2025,01/09/2026,7-24-2025</t>
  </si>
  <si>
    <t>#8752,#8770,#8792,8518</t>
  </si>
  <si>
    <t>01/02/2026,8-4-2025</t>
  </si>
  <si>
    <t>#8767,8540</t>
  </si>
  <si>
    <t>Christina Garcia</t>
  </si>
  <si>
    <t>01/17,01/24,01/30,</t>
  </si>
  <si>
    <t>#8782,#8790,#0201,</t>
  </si>
  <si>
    <t>01/29/2026,8-1-25</t>
  </si>
  <si>
    <t>#8795,8533</t>
  </si>
  <si>
    <t>01/02,01/09,01/16,01/23,01/30,7-25-2025</t>
  </si>
  <si>
    <t>#8760, #8771,#8777,#8787#8799,'8526</t>
  </si>
  <si>
    <t>01/02,01/09,01/16,01/23,01/30,</t>
  </si>
  <si>
    <t>#8763,#8773,#8773,#8776,#8800,8539</t>
  </si>
  <si>
    <t>01/09/,01/16,8-1-2025</t>
  </si>
  <si>
    <t>#8774,8770,8538</t>
  </si>
  <si>
    <t>Robert Lee Garza</t>
  </si>
  <si>
    <t>01/02,01/19,01/30,7/31/2025</t>
  </si>
  <si>
    <t>#8761,#8783,#8798,8529</t>
  </si>
  <si>
    <t>Raul Mungia</t>
  </si>
  <si>
    <t>#8772</t>
  </si>
  <si>
    <t>01/20,01/26,</t>
  </si>
  <si>
    <t>#8784,#8794,8521</t>
  </si>
  <si>
    <t>12/31,01/11,01/16,01/23,01/30,</t>
  </si>
  <si>
    <t>#8758,#8775,#8779,#8788,#8797,8536</t>
  </si>
  <si>
    <t>01/02/2026,8/1/2025</t>
  </si>
  <si>
    <t>#938759,8532</t>
  </si>
  <si>
    <t>#8764,#8768,#8778,#8785,#8796,8522</t>
  </si>
  <si>
    <t>Angel Uribe</t>
  </si>
  <si>
    <t>#01/16,01/23,,7-25-2025</t>
  </si>
  <si>
    <t>#8781,#8789,8520</t>
  </si>
  <si>
    <t>cash app</t>
  </si>
  <si>
    <t>#0221,8530</t>
  </si>
  <si>
    <t>Robert Villanueba</t>
  </si>
  <si>
    <t>02/14,</t>
  </si>
  <si>
    <t>#0217,</t>
  </si>
  <si>
    <t>02/16,</t>
  </si>
  <si>
    <t>#0219,</t>
  </si>
  <si>
    <t>02/03,7-25-2025</t>
  </si>
  <si>
    <t>#0202,8525</t>
  </si>
  <si>
    <t>David Herrera and Laura Landeros</t>
  </si>
  <si>
    <t>02/06,02/27,7-24-2025</t>
  </si>
  <si>
    <t>#0204,#0226,8518</t>
  </si>
  <si>
    <t>Christi Mcginnis</t>
  </si>
  <si>
    <t>02/06,02,14,02/27,</t>
  </si>
  <si>
    <t>#0208,#0218,#0232,</t>
  </si>
  <si>
    <t>#0227,8533</t>
  </si>
  <si>
    <t>Joel</t>
  </si>
  <si>
    <t>02/06,02/13,02/20,02,27,7-25-2025</t>
  </si>
  <si>
    <t>#0203,#0216,#0222,#0228,8526</t>
  </si>
  <si>
    <t xml:space="preserve">Daniel Yruegas </t>
  </si>
  <si>
    <t>incarcerated</t>
  </si>
  <si>
    <t>02/06,02/13,02/20,</t>
  </si>
  <si>
    <t>#0207,#0215,#0223,8539</t>
  </si>
  <si>
    <t>Casandra Roriguez</t>
  </si>
  <si>
    <t>Bruce Cisneros</t>
  </si>
  <si>
    <t>#0233,8538</t>
  </si>
  <si>
    <t>02/12,02/27,7/31/2025</t>
  </si>
  <si>
    <t>#0210,#0230,8529</t>
  </si>
  <si>
    <t>Matilda Ramsey,Austin Garcia</t>
  </si>
  <si>
    <t>#0214,8521</t>
  </si>
  <si>
    <t>Juan Martinez,</t>
  </si>
  <si>
    <t>02/06,2-13-26,02/20,02/27,</t>
  </si>
  <si>
    <t>#0206,#0212,30224,8536</t>
  </si>
  <si>
    <t>02/06,02/13,</t>
  </si>
  <si>
    <t>#0205,#0231,8532</t>
  </si>
  <si>
    <t>2-13-2026,02,20,02/27,</t>
  </si>
  <si>
    <t>#0211,#0220,#0229,8522</t>
  </si>
  <si>
    <t>02/06,2-13-2026,02/27,</t>
  </si>
  <si>
    <t>#0213,#0225,#0236,8520</t>
  </si>
  <si>
    <t>Robert</t>
  </si>
  <si>
    <t>#0254</t>
  </si>
  <si>
    <t>Jesus Carrion</t>
  </si>
  <si>
    <t>03/18,</t>
  </si>
  <si>
    <t>#0255,</t>
  </si>
  <si>
    <t>#0235</t>
  </si>
  <si>
    <t>David Herrera and Laura?</t>
  </si>
  <si>
    <t>03/13,03/27,</t>
  </si>
  <si>
    <t>#0246,#0262,</t>
  </si>
  <si>
    <t>03/02,</t>
  </si>
  <si>
    <t>#0234,</t>
  </si>
  <si>
    <t>Jesus Lara</t>
  </si>
  <si>
    <t>#0204</t>
  </si>
  <si>
    <t>03/13,03/23,03/27,</t>
  </si>
  <si>
    <t>#0247,#0257,#0263</t>
  </si>
  <si>
    <t>Kayla Cheadle</t>
  </si>
  <si>
    <t>#0245,#0259,</t>
  </si>
  <si>
    <t>Cathy Rodriguez</t>
  </si>
  <si>
    <t>#0265</t>
  </si>
  <si>
    <t>#0252</t>
  </si>
  <si>
    <t xml:space="preserve">Robert Lee Garcia </t>
  </si>
  <si>
    <t>03/13,3/16/2026,03/27,</t>
  </si>
  <si>
    <t>#0249#0253,#0260,</t>
  </si>
  <si>
    <t>Micheal cisneros</t>
  </si>
  <si>
    <t>Ozzy Morin Hope Deleon</t>
  </si>
  <si>
    <t>#0250,</t>
  </si>
  <si>
    <t>03/13,03/20,03/27,</t>
  </si>
  <si>
    <t>#0248,#0256,#0261</t>
  </si>
  <si>
    <t>#0258</t>
  </si>
  <si>
    <t>04/10,</t>
  </si>
  <si>
    <t>#0283,</t>
  </si>
  <si>
    <t>04/03,04/17,</t>
  </si>
  <si>
    <t>#0275,#0293,</t>
  </si>
  <si>
    <t>#0271,</t>
  </si>
  <si>
    <t>04/10,04/17,</t>
  </si>
  <si>
    <t>#0282,#0288,</t>
  </si>
  <si>
    <t>Rosendo Zuniga</t>
  </si>
  <si>
    <t>,04/02,04/09,04/16,04/23,04/29,</t>
  </si>
  <si>
    <t>#0267,#0279,#0287,#0307</t>
  </si>
  <si>
    <t>#0276,#0298,</t>
  </si>
  <si>
    <t>#0266,</t>
  </si>
  <si>
    <t>,04/03,04/10,04/17,</t>
  </si>
  <si>
    <t>#0272,#0280,#0292,#0299,</t>
  </si>
  <si>
    <t xml:space="preserve">Kayla Cheadle </t>
  </si>
  <si>
    <t>04/03,04/10,04/17,04/24,</t>
  </si>
  <si>
    <t>#0273,#0285,#0289,#0304,</t>
  </si>
  <si>
    <t>Cathy rodriguez</t>
  </si>
  <si>
    <t>04/03,</t>
  </si>
  <si>
    <t>#0277,</t>
  </si>
  <si>
    <t>04/03,04/20,04/26,</t>
  </si>
  <si>
    <t>#0274,#0296,#0306,</t>
  </si>
  <si>
    <t>04/10,04/25,</t>
  </si>
  <si>
    <t>#0284,#0305,</t>
  </si>
  <si>
    <t>Michael Espinoza</t>
  </si>
  <si>
    <t>04/13,04/17,</t>
  </si>
  <si>
    <t>#0286,#0291,</t>
  </si>
  <si>
    <t>Michael Cisneros</t>
  </si>
  <si>
    <t>4-2-26,04/09,04/24,</t>
  </si>
  <si>
    <t>#0269,#0278,#0303,</t>
  </si>
  <si>
    <t>4-2-26,04/09,</t>
  </si>
  <si>
    <t>#0268,#,</t>
  </si>
  <si>
    <t>4/2/2026,04/23,</t>
  </si>
  <si>
    <t>#0270,</t>
  </si>
  <si>
    <t>04/17,</t>
  </si>
  <si>
    <t>#0295,#0297</t>
  </si>
  <si>
    <t>4-10-2026,04/17,04/24,</t>
  </si>
  <si>
    <t>#0281,#0290,#0300</t>
  </si>
  <si>
    <t>#0294,</t>
  </si>
  <si>
    <t>Monthly Expenses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</si>
  <si>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</si>
  <si>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</si>
  <si>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</si>
  <si>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</si>
  <si>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</si>
  <si>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</si>
  <si>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</si>
  <si>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</si>
  <si>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</si>
  <si>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</si>
  <si>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</si>
  <si>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</si>
  <si>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Item Name</t>
  </si>
  <si>
    <t>Quantity</t>
  </si>
  <si>
    <t>url Link/Store Purchased At/Receipt Scanned</t>
  </si>
  <si>
    <t>Frequency</t>
  </si>
  <si>
    <t>Person</t>
  </si>
  <si>
    <t>Approval</t>
  </si>
  <si>
    <t>Purchased</t>
  </si>
  <si>
    <t>Delivered</t>
  </si>
  <si>
    <t>celling fan light switches</t>
  </si>
  <si>
    <t>FOR THE CEILING FAN</t>
  </si>
  <si>
    <t>james</t>
  </si>
  <si>
    <t>5 GALLONS KILTZ</t>
  </si>
  <si>
    <t xml:space="preserve">to paint the walls </t>
  </si>
  <si>
    <t xml:space="preserve">4x8 sheet 1/2 plywood </t>
  </si>
  <si>
    <t>screws t-25</t>
  </si>
  <si>
    <t>for the plywood</t>
  </si>
  <si>
    <t>real kill indoor foggers</t>
  </si>
  <si>
    <t>for the roaches in rooms</t>
  </si>
  <si>
    <t>luis</t>
  </si>
  <si>
    <t>Roy's WiFi/CCTV Upgrade</t>
  </si>
  <si>
    <t>CCTV/WiFi Upgrades</t>
  </si>
  <si>
    <t>One-Time</t>
  </si>
  <si>
    <t>Coin Changer Hardware</t>
  </si>
  <si>
    <t>$40-$50</t>
  </si>
  <si>
    <t>Amazon URL --&gt;</t>
  </si>
  <si>
    <t>One-Time, Part Repair</t>
  </si>
  <si>
    <t>Demolition Reciprocating Saw Blades</t>
  </si>
  <si>
    <t>https://factorydirectsupplyonline.com/products/diablo-steel-demon-reciprocating-saw-blade-pack-of-10?_pos=7&amp;_sid=5d5d7d1d0&amp;_ss=r&amp;_fid=e51ed1550</t>
  </si>
  <si>
    <t>RAID CAN SPRAY</t>
  </si>
  <si>
    <t>55 gallon trash bags</t>
  </si>
  <si>
    <t xml:space="preserve">2 boxes </t>
  </si>
  <si>
    <t>for the trash cans</t>
  </si>
  <si>
    <t>often</t>
  </si>
  <si>
    <t>danny</t>
  </si>
  <si>
    <t>Hours</t>
  </si>
  <si>
    <t>monday</t>
  </si>
  <si>
    <t>tuesday</t>
  </si>
  <si>
    <t>wednesday</t>
  </si>
  <si>
    <t>thursday</t>
  </si>
  <si>
    <t>friday</t>
  </si>
  <si>
    <t>Luis</t>
  </si>
  <si>
    <t>Week 2</t>
  </si>
  <si>
    <t>Week 3</t>
  </si>
  <si>
    <t>Week 4</t>
  </si>
  <si>
    <t>Week 5</t>
  </si>
  <si>
    <t>Week 6</t>
  </si>
  <si>
    <t xml:space="preserve">Week # - Date(s) </t>
  </si>
  <si>
    <t>Employee ID/Name</t>
  </si>
  <si>
    <t>Amount Paid Hourly</t>
  </si>
  <si>
    <t>Total Hours For Week</t>
  </si>
  <si>
    <t>Total Income For Week</t>
  </si>
  <si>
    <t>Deductions</t>
  </si>
  <si>
    <t>Monday Hours</t>
  </si>
  <si>
    <t>Tuesday Hours</t>
  </si>
  <si>
    <t>Wednesday Hours</t>
  </si>
  <si>
    <t>Thursday - July 17th,2025</t>
  </si>
  <si>
    <t>Friday Hours</t>
  </si>
  <si>
    <t>7/14/2025 Monday - 7/18/2025 Friday</t>
  </si>
  <si>
    <t>Monday</t>
  </si>
  <si>
    <t>Tuesday</t>
  </si>
  <si>
    <t>Wednesday</t>
  </si>
  <si>
    <t>Thursday</t>
  </si>
  <si>
    <t>Friday</t>
  </si>
  <si>
    <t>7/21/2025 Monday - 7/25/2025 Friday</t>
  </si>
  <si>
    <t>Nero</t>
  </si>
  <si>
    <t>7/28/2025 monday-  8/1/2025- friday</t>
  </si>
  <si>
    <t>room/unit #</t>
  </si>
  <si>
    <t>Tenant Name</t>
  </si>
  <si>
    <t>Tenant Phone #</t>
  </si>
  <si>
    <t>Emergency Contact #1</t>
  </si>
  <si>
    <t>Relation</t>
  </si>
  <si>
    <t>social security #</t>
  </si>
  <si>
    <t>Chris Garcia</t>
  </si>
  <si>
    <t>(210) 799-6453</t>
  </si>
  <si>
    <t>Patrick Blasigame</t>
  </si>
  <si>
    <t>(956) 236-1803</t>
  </si>
  <si>
    <t>468-85-013</t>
  </si>
  <si>
    <t>(330) 590-3129</t>
  </si>
  <si>
    <t>Rolando Benvides</t>
  </si>
  <si>
    <t>(361) 429-5487</t>
  </si>
  <si>
    <t>Noel Aguilar(361)443-7227</t>
  </si>
  <si>
    <t>friend</t>
  </si>
  <si>
    <t>463-02-9221</t>
  </si>
  <si>
    <t>Martin Castillio</t>
  </si>
  <si>
    <t>(361) 704-0136</t>
  </si>
  <si>
    <t>Angela Galvan(361)424-8992</t>
  </si>
  <si>
    <t>spouse</t>
  </si>
  <si>
    <t>637-01-1410</t>
  </si>
  <si>
    <t>Epifanio Trullio</t>
  </si>
  <si>
    <t>(361) 255-5913</t>
  </si>
  <si>
    <t>Natash Trujillo(361)698-1354</t>
  </si>
  <si>
    <t>639-76-0840</t>
  </si>
  <si>
    <t>(930) 280-7805</t>
  </si>
  <si>
    <t>(361) 285-3820</t>
  </si>
  <si>
    <t>Carlos Carrillo(361)696-2379</t>
  </si>
  <si>
    <t>457-53-3697</t>
  </si>
  <si>
    <t>Gaye McKinney - (806) 220-8123</t>
  </si>
  <si>
    <t>sister</t>
  </si>
  <si>
    <t>451-21-5023</t>
  </si>
  <si>
    <t>Christi Mcginiss</t>
  </si>
  <si>
    <t>(361) 426-0824</t>
  </si>
  <si>
    <t>015-42-4527</t>
  </si>
  <si>
    <t>Tony Bauer - (210) 264-0832</t>
  </si>
  <si>
    <t>cindi mungia</t>
  </si>
  <si>
    <t>viola mungia(361)283-0759</t>
  </si>
  <si>
    <t>mother</t>
  </si>
  <si>
    <t>(361) 290-6513</t>
  </si>
  <si>
    <t>456-49-3860</t>
  </si>
  <si>
    <t>(520) 236-0365</t>
  </si>
  <si>
    <t>Randy and Jane Garcia(361) 534-0106</t>
  </si>
  <si>
    <t>parents</t>
  </si>
  <si>
    <t>629-42-3649</t>
  </si>
  <si>
    <t>(513) 780-4821</t>
  </si>
  <si>
    <t>SanJuana Mendoza(361) 816-5832</t>
  </si>
  <si>
    <t>mom</t>
  </si>
  <si>
    <t>641-14-8495</t>
  </si>
  <si>
    <t>Robby Lee Garza</t>
  </si>
  <si>
    <t>(361) 944-7366</t>
  </si>
  <si>
    <t>Robert Garza (361)500-1272</t>
  </si>
  <si>
    <t>father</t>
  </si>
  <si>
    <t>636-44-1983</t>
  </si>
  <si>
    <t>(361) 218-4296</t>
  </si>
  <si>
    <t>493-08-0422</t>
  </si>
  <si>
    <t>Esperanza Dellion</t>
  </si>
  <si>
    <t>(361) 415-5381</t>
  </si>
  <si>
    <t>Maricelda Hernandez - (361) 563-5583</t>
  </si>
  <si>
    <t>464-77-9549</t>
  </si>
  <si>
    <t>Albert Norman Rojas III</t>
  </si>
  <si>
    <t>Paul Bridgeman</t>
  </si>
  <si>
    <t>(361) 595-6592</t>
  </si>
  <si>
    <t>449-85-1691</t>
  </si>
  <si>
    <t>Marcus reynolds</t>
  </si>
  <si>
    <t>(361)-516-5864</t>
  </si>
  <si>
    <t>doug(361)-522-5029</t>
  </si>
  <si>
    <t>552-59-1224</t>
  </si>
  <si>
    <t>Robert Chamblee</t>
  </si>
  <si>
    <t>(361) 933-6799</t>
  </si>
  <si>
    <t>tina salinas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</si>
</sst>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"/>
    <numFmt numFmtId="165" formatCode="mm/dd/yyyy"/>
    <numFmt numFmtId="166" formatCode="m-d-yy"/>
    <numFmt numFmtId="167" formatCode="&quot;$&quot;#,##0.00"/>
    <numFmt numFmtId="168" formatCode="m-d-yyyy"/>
    <numFmt numFmtId="169" formatCode="mm/dd"/>
    <numFmt numFmtId="170" formatCode="#,##0&quot;$&quot;"/>
    <numFmt numFmtId="171" formatCode="&quot;$&quot;#,##0"/>
    <numFmt numFmtId="172" formatCode="m/d/yyyy dddd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u/>
      <color rgb="FF0000FF"/>
    </font>
    <font>
      <b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1" numFmtId="3" xfId="0" applyAlignment="1" applyFont="1" applyNumberFormat="1">
      <alignment readingOrder="0"/>
    </xf>
    <xf borderId="0" fillId="2" fontId="1" numFmtId="0" xfId="0" applyFont="1"/>
    <xf borderId="0" fillId="4" fontId="2" numFmtId="0" xfId="0" applyAlignment="1" applyFill="1" applyFont="1">
      <alignment readingOrder="0"/>
    </xf>
    <xf borderId="0" fillId="4" fontId="1" numFmtId="0" xfId="0" applyFont="1"/>
    <xf borderId="0" fillId="5" fontId="1" numFmtId="0" xfId="0" applyAlignment="1" applyFill="1" applyFont="1">
      <alignment readingOrder="0"/>
    </xf>
    <xf borderId="0" fillId="5" fontId="1" numFmtId="0" xfId="0" applyFont="1"/>
    <xf borderId="0" fillId="2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164" xfId="0" applyAlignment="1" applyFont="1" applyNumberForma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3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3" fontId="1" numFmtId="0" xfId="0" applyAlignment="1" applyFont="1">
      <alignment readingOrder="0" shrinkToFit="0" vertical="center" wrapText="0"/>
    </xf>
    <xf borderId="0" fillId="3" fontId="3" numFmtId="0" xfId="0" applyAlignment="1" applyFont="1">
      <alignment readingOrder="0" shrinkToFit="0" vertical="bottom" wrapText="0"/>
    </xf>
    <xf borderId="0" fillId="3" fontId="1" numFmtId="166" xfId="0" applyAlignment="1" applyFont="1" applyNumberFormat="1">
      <alignment readingOrder="0"/>
    </xf>
    <xf borderId="0" fillId="2" fontId="1" numFmtId="0" xfId="0" applyFont="1"/>
    <xf borderId="0" fillId="2" fontId="1" numFmtId="3" xfId="0" applyFont="1" applyNumberFormat="1"/>
    <xf borderId="0" fillId="0" fontId="1" numFmtId="167" xfId="0" applyAlignment="1" applyFont="1" applyNumberFormat="1">
      <alignment readingOrder="0"/>
    </xf>
    <xf borderId="0" fillId="0" fontId="1" numFmtId="167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6" fontId="1" numFmtId="0" xfId="0" applyAlignment="1" applyFill="1" applyFont="1">
      <alignment readingOrder="0"/>
    </xf>
    <xf borderId="0" fillId="6" fontId="1" numFmtId="0" xfId="0" applyAlignment="1" applyFont="1">
      <alignment readingOrder="0"/>
    </xf>
    <xf borderId="0" fillId="6" fontId="1" numFmtId="0" xfId="0" applyFont="1"/>
    <xf borderId="0" fillId="6" fontId="1" numFmtId="167" xfId="0" applyAlignment="1" applyFont="1" applyNumberFormat="1">
      <alignment readingOrder="0"/>
    </xf>
    <xf borderId="0" fillId="6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6" fontId="1" numFmtId="3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3" numFmtId="167" xfId="0" applyAlignment="1" applyFont="1" applyNumberFormat="1">
      <alignment horizontal="right" readingOrder="0" vertical="bottom"/>
    </xf>
    <xf borderId="0" fillId="0" fontId="3" numFmtId="167" xfId="0" applyAlignment="1" applyFont="1" applyNumberFormat="1">
      <alignment readingOrder="0" vertical="bottom"/>
    </xf>
    <xf borderId="0" fillId="3" fontId="1" numFmtId="0" xfId="0" applyAlignment="1" applyFont="1">
      <alignment readingOrder="0"/>
    </xf>
    <xf borderId="0" fillId="3" fontId="1" numFmtId="167" xfId="0" applyAlignment="1" applyFont="1" applyNumberFormat="1">
      <alignment readingOrder="0"/>
    </xf>
    <xf borderId="0" fillId="3" fontId="3" numFmtId="167" xfId="0" applyAlignment="1" applyFont="1" applyNumberFormat="1">
      <alignment readingOrder="0" vertical="bottom"/>
    </xf>
    <xf borderId="0" fillId="2" fontId="1" numFmtId="167" xfId="0" applyFont="1" applyNumberFormat="1"/>
    <xf borderId="0" fillId="3" fontId="1" numFmtId="168" xfId="0" applyAlignment="1" applyFont="1" applyNumberFormat="1">
      <alignment readingOrder="0"/>
    </xf>
    <xf borderId="0" fillId="3" fontId="1" numFmtId="0" xfId="0" applyAlignment="1" applyFont="1">
      <alignment readingOrder="0"/>
    </xf>
    <xf borderId="0" fillId="7" fontId="1" numFmtId="0" xfId="0" applyAlignment="1" applyFill="1" applyFont="1">
      <alignment readingOrder="0"/>
    </xf>
    <xf borderId="0" fillId="7" fontId="1" numFmtId="0" xfId="0" applyAlignment="1" applyFont="1">
      <alignment readingOrder="0"/>
    </xf>
    <xf borderId="0" fillId="7" fontId="1" numFmtId="167" xfId="0" applyAlignment="1" applyFont="1" applyNumberFormat="1">
      <alignment readingOrder="0"/>
    </xf>
    <xf borderId="0" fillId="7" fontId="1" numFmtId="0" xfId="0" applyFont="1"/>
    <xf borderId="0" fillId="7" fontId="1" numFmtId="167" xfId="0" applyFont="1" applyNumberFormat="1"/>
    <xf borderId="0" fillId="3" fontId="1" numFmtId="164" xfId="0" applyAlignment="1" applyFont="1" applyNumberFormat="1">
      <alignment readingOrder="0"/>
    </xf>
    <xf borderId="0" fillId="7" fontId="1" numFmtId="3" xfId="0" applyAlignment="1" applyFont="1" applyNumberFormat="1">
      <alignment readingOrder="0"/>
    </xf>
    <xf borderId="0" fillId="7" fontId="3" numFmtId="167" xfId="0" applyAlignment="1" applyFont="1" applyNumberFormat="1">
      <alignment readingOrder="0" vertical="bottom"/>
    </xf>
    <xf borderId="0" fillId="0" fontId="2" numFmtId="167" xfId="0" applyFont="1" applyNumberFormat="1"/>
    <xf borderId="0" fillId="0" fontId="2" numFmtId="0" xfId="0" applyFont="1"/>
    <xf borderId="0" fillId="7" fontId="1" numFmtId="168" xfId="0" applyAlignment="1" applyFont="1" applyNumberFormat="1">
      <alignment readingOrder="0"/>
    </xf>
    <xf borderId="0" fillId="8" fontId="1" numFmtId="0" xfId="0" applyAlignment="1" applyFill="1" applyFont="1">
      <alignment readingOrder="0"/>
    </xf>
    <xf borderId="0" fillId="8" fontId="1" numFmtId="0" xfId="0" applyAlignment="1" applyFont="1">
      <alignment readingOrder="0"/>
    </xf>
    <xf borderId="0" fillId="8" fontId="1" numFmtId="167" xfId="0" applyAlignment="1" applyFont="1" applyNumberFormat="1">
      <alignment readingOrder="0"/>
    </xf>
    <xf borderId="0" fillId="8" fontId="1" numFmtId="0" xfId="0" applyFont="1"/>
    <xf borderId="0" fillId="8" fontId="1" numFmtId="167" xfId="0" applyFont="1" applyNumberFormat="1"/>
    <xf borderId="0" fillId="9" fontId="1" numFmtId="0" xfId="0" applyAlignment="1" applyFill="1" applyFont="1">
      <alignment readingOrder="0"/>
    </xf>
    <xf borderId="0" fillId="9" fontId="1" numFmtId="0" xfId="0" applyAlignment="1" applyFont="1">
      <alignment readingOrder="0"/>
    </xf>
    <xf borderId="0" fillId="9" fontId="1" numFmtId="167" xfId="0" applyAlignment="1" applyFont="1" applyNumberFormat="1">
      <alignment readingOrder="0"/>
    </xf>
    <xf borderId="0" fillId="9" fontId="1" numFmtId="0" xfId="0" applyFont="1"/>
    <xf borderId="0" fillId="9" fontId="1" numFmtId="168" xfId="0" applyAlignment="1" applyFont="1" applyNumberFormat="1">
      <alignment readingOrder="0"/>
    </xf>
    <xf borderId="0" fillId="8" fontId="4" numFmtId="0" xfId="0" applyAlignment="1" applyFont="1">
      <alignment readingOrder="0"/>
    </xf>
    <xf borderId="0" fillId="8" fontId="4" numFmtId="0" xfId="0" applyAlignment="1" applyFont="1">
      <alignment readingOrder="0"/>
    </xf>
    <xf borderId="0" fillId="8" fontId="4" numFmtId="167" xfId="0" applyAlignment="1" applyFont="1" applyNumberFormat="1">
      <alignment readingOrder="0"/>
    </xf>
    <xf borderId="0" fillId="8" fontId="4" numFmtId="167" xfId="0" applyFont="1" applyNumberFormat="1"/>
    <xf borderId="0" fillId="8" fontId="4" numFmtId="0" xfId="0" applyFont="1"/>
    <xf borderId="0" fillId="8" fontId="4" numFmtId="164" xfId="0" applyAlignment="1" applyFont="1" applyNumberFormat="1">
      <alignment readingOrder="0"/>
    </xf>
    <xf borderId="0" fillId="9" fontId="1" numFmtId="164" xfId="0" applyAlignment="1" applyFont="1" applyNumberFormat="1">
      <alignment readingOrder="0"/>
    </xf>
    <xf borderId="0" fillId="9" fontId="1" numFmtId="0" xfId="0" applyAlignment="1" applyFont="1">
      <alignment readingOrder="0"/>
    </xf>
    <xf borderId="0" fillId="3" fontId="1" numFmtId="167" xfId="0" applyFont="1" applyNumberFormat="1"/>
    <xf borderId="0" fillId="9" fontId="1" numFmtId="167" xfId="0" applyFont="1" applyNumberFormat="1"/>
    <xf borderId="0" fillId="7" fontId="4" numFmtId="0" xfId="0" applyAlignment="1" applyFont="1">
      <alignment readingOrder="0"/>
    </xf>
    <xf borderId="0" fillId="7" fontId="4" numFmtId="0" xfId="0" applyAlignment="1" applyFont="1">
      <alignment readingOrder="0"/>
    </xf>
    <xf borderId="0" fillId="7" fontId="4" numFmtId="167" xfId="0" applyAlignment="1" applyFont="1" applyNumberFormat="1">
      <alignment readingOrder="0"/>
    </xf>
    <xf borderId="0" fillId="7" fontId="4" numFmtId="167" xfId="0" applyFont="1" applyNumberFormat="1"/>
    <xf borderId="0" fillId="7" fontId="4" numFmtId="0" xfId="0" applyFont="1"/>
    <xf borderId="0" fillId="7" fontId="4" numFmtId="164" xfId="0" applyAlignment="1" applyFont="1" applyNumberFormat="1">
      <alignment readingOrder="0"/>
    </xf>
    <xf borderId="0" fillId="9" fontId="1" numFmtId="0" xfId="0" applyAlignment="1" applyFont="1">
      <alignment readingOrder="0"/>
    </xf>
    <xf borderId="0" fillId="7" fontId="1" numFmtId="166" xfId="0" applyAlignment="1" applyFont="1" applyNumberFormat="1">
      <alignment readingOrder="0"/>
    </xf>
    <xf borderId="0" fillId="6" fontId="1" numFmtId="168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67" xfId="0" applyAlignment="1" applyFont="1" applyNumberFormat="1">
      <alignment readingOrder="0"/>
    </xf>
    <xf borderId="0" fillId="0" fontId="4" numFmtId="167" xfId="0" applyFont="1" applyNumberFormat="1"/>
    <xf borderId="0" fillId="0" fontId="4" numFmtId="0" xfId="0" applyFont="1"/>
    <xf borderId="0" fillId="0" fontId="4" numFmtId="164" xfId="0" applyAlignment="1" applyFont="1" applyNumberFormat="1">
      <alignment readingOrder="0"/>
    </xf>
    <xf borderId="0" fillId="3" fontId="3" numFmtId="167" xfId="0" applyAlignment="1" applyFont="1" applyNumberFormat="1">
      <alignment horizontal="right" readingOrder="0" vertical="bottom"/>
    </xf>
    <xf borderId="0" fillId="9" fontId="3" numFmtId="167" xfId="0" applyAlignment="1" applyFont="1" applyNumberFormat="1">
      <alignment horizontal="right" readingOrder="0" vertical="bottom"/>
    </xf>
    <xf borderId="0" fillId="9" fontId="1" numFmtId="166" xfId="0" applyAlignment="1" applyFont="1" applyNumberFormat="1">
      <alignment readingOrder="0"/>
    </xf>
    <xf borderId="0" fillId="7" fontId="3" numFmtId="167" xfId="0" applyAlignment="1" applyFont="1" applyNumberFormat="1">
      <alignment horizontal="right" readingOrder="0" vertical="bottom"/>
    </xf>
    <xf borderId="0" fillId="10" fontId="1" numFmtId="0" xfId="0" applyAlignment="1" applyFill="1" applyFont="1">
      <alignment readingOrder="0"/>
    </xf>
    <xf borderId="0" fillId="10" fontId="1" numFmtId="0" xfId="0" applyAlignment="1" applyFont="1">
      <alignment readingOrder="0"/>
    </xf>
    <xf borderId="0" fillId="10" fontId="1" numFmtId="167" xfId="0" applyAlignment="1" applyFont="1" applyNumberFormat="1">
      <alignment readingOrder="0"/>
    </xf>
    <xf borderId="0" fillId="10" fontId="1" numFmtId="0" xfId="0" applyFont="1"/>
    <xf borderId="0" fillId="10" fontId="1" numFmtId="168" xfId="0" applyAlignment="1" applyFont="1" applyNumberFormat="1">
      <alignment readingOrder="0"/>
    </xf>
    <xf borderId="0" fillId="10" fontId="1" numFmtId="167" xfId="0" applyFont="1" applyNumberFormat="1"/>
    <xf borderId="0" fillId="10" fontId="1" numFmtId="0" xfId="0" applyAlignment="1" applyFont="1">
      <alignment readingOrder="0"/>
    </xf>
    <xf borderId="0" fillId="11" fontId="1" numFmtId="0" xfId="0" applyAlignment="1" applyFill="1" applyFont="1">
      <alignment readingOrder="0"/>
    </xf>
    <xf borderId="0" fillId="11" fontId="1" numFmtId="0" xfId="0" applyAlignment="1" applyFont="1">
      <alignment readingOrder="0"/>
    </xf>
    <xf borderId="0" fillId="11" fontId="1" numFmtId="167" xfId="0" applyAlignment="1" applyFont="1" applyNumberFormat="1">
      <alignment readingOrder="0"/>
    </xf>
    <xf borderId="0" fillId="11" fontId="1" numFmtId="0" xfId="0" applyFont="1"/>
    <xf borderId="0" fillId="10" fontId="4" numFmtId="0" xfId="0" applyAlignment="1" applyFont="1">
      <alignment readingOrder="0"/>
    </xf>
    <xf borderId="0" fillId="10" fontId="4" numFmtId="167" xfId="0" applyAlignment="1" applyFont="1" applyNumberFormat="1">
      <alignment readingOrder="0"/>
    </xf>
    <xf borderId="0" fillId="10" fontId="4" numFmtId="0" xfId="0" applyFont="1"/>
    <xf borderId="0" fillId="10" fontId="4" numFmtId="0" xfId="0" applyAlignment="1" applyFont="1">
      <alignment readingOrder="0"/>
    </xf>
    <xf borderId="0" fillId="10" fontId="1" numFmtId="165" xfId="0" applyAlignment="1" applyFont="1" applyNumberFormat="1">
      <alignment readingOrder="0"/>
    </xf>
    <xf borderId="0" fillId="10" fontId="3" numFmtId="167" xfId="0" applyAlignment="1" applyFont="1" applyNumberFormat="1">
      <alignment readingOrder="0" vertical="bottom"/>
    </xf>
    <xf borderId="0" fillId="10" fontId="3" numFmtId="167" xfId="0" applyAlignment="1" applyFont="1" applyNumberFormat="1">
      <alignment horizontal="right" readingOrder="0" vertical="bottom"/>
    </xf>
    <xf borderId="0" fillId="10" fontId="1" numFmtId="164" xfId="0" applyAlignment="1" applyFont="1" applyNumberFormat="1">
      <alignment readingOrder="0"/>
    </xf>
    <xf borderId="0" fillId="10" fontId="1" numFmtId="166" xfId="0" applyAlignment="1" applyFont="1" applyNumberFormat="1">
      <alignment readingOrder="0"/>
    </xf>
    <xf borderId="0" fillId="12" fontId="1" numFmtId="0" xfId="0" applyAlignment="1" applyFill="1" applyFont="1">
      <alignment readingOrder="0"/>
    </xf>
    <xf borderId="0" fillId="12" fontId="1" numFmtId="0" xfId="0" applyAlignment="1" applyFont="1">
      <alignment readingOrder="0"/>
    </xf>
    <xf borderId="0" fillId="12" fontId="1" numFmtId="167" xfId="0" applyAlignment="1" applyFont="1" applyNumberFormat="1">
      <alignment readingOrder="0"/>
    </xf>
    <xf borderId="0" fillId="12" fontId="1" numFmtId="0" xfId="0" applyFont="1"/>
    <xf borderId="0" fillId="12" fontId="1" numFmtId="168" xfId="0" applyAlignment="1" applyFont="1" applyNumberFormat="1">
      <alignment readingOrder="0"/>
    </xf>
    <xf borderId="0" fillId="10" fontId="1" numFmtId="169" xfId="0" applyAlignment="1" applyFont="1" applyNumberFormat="1">
      <alignment readingOrder="0"/>
    </xf>
    <xf borderId="0" fillId="11" fontId="1" numFmtId="168" xfId="0" applyAlignment="1" applyFont="1" applyNumberFormat="1">
      <alignment readingOrder="0"/>
    </xf>
    <xf borderId="0" fillId="10" fontId="4" numFmtId="164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3" numFmtId="167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13" fontId="3" numFmtId="167" xfId="0" applyAlignment="1" applyFill="1" applyFont="1" applyNumberFormat="1">
      <alignment horizontal="right" vertical="bottom"/>
    </xf>
    <xf borderId="0" fillId="0" fontId="3" numFmtId="167" xfId="0" applyAlignment="1" applyFont="1" applyNumberFormat="1">
      <alignment vertical="bottom"/>
    </xf>
    <xf borderId="0" fillId="0" fontId="3" numFmtId="171" xfId="0" applyAlignment="1" applyFont="1" applyNumberFormat="1">
      <alignment horizontal="right" vertical="bottom"/>
    </xf>
    <xf borderId="0" fillId="0" fontId="6" numFmtId="0" xfId="0" applyAlignment="1" applyFont="1">
      <alignment readingOrder="0" vertical="bottom"/>
    </xf>
    <xf borderId="0" fillId="14" fontId="3" numFmtId="0" xfId="0" applyAlignment="1" applyFill="1" applyFont="1">
      <alignment readingOrder="0" vertical="bottom"/>
    </xf>
    <xf borderId="0" fillId="14" fontId="3" numFmtId="0" xfId="0" applyAlignment="1" applyFont="1">
      <alignment vertical="bottom"/>
    </xf>
    <xf borderId="0" fillId="6" fontId="6" numFmtId="0" xfId="0" applyAlignment="1" applyFont="1">
      <alignment readingOrder="0" vertical="bottom"/>
    </xf>
    <xf borderId="0" fillId="6" fontId="6" numFmtId="167" xfId="0" applyAlignment="1" applyFont="1" applyNumberFormat="1">
      <alignment horizontal="right" readingOrder="0" vertical="bottom"/>
    </xf>
    <xf borderId="0" fillId="6" fontId="6" numFmtId="0" xfId="0" applyAlignment="1" applyFont="1">
      <alignment horizontal="right" readingOrder="0" vertical="bottom"/>
    </xf>
    <xf borderId="0" fillId="6" fontId="3" numFmtId="0" xfId="0" applyAlignment="1" applyFont="1">
      <alignment vertical="bottom"/>
    </xf>
    <xf borderId="0" fillId="6" fontId="3" numFmtId="167" xfId="0" applyAlignment="1" applyFont="1" applyNumberFormat="1">
      <alignment horizontal="right" vertical="bottom"/>
    </xf>
    <xf borderId="0" fillId="6" fontId="3" numFmtId="0" xfId="0" applyAlignment="1" applyFont="1">
      <alignment horizontal="right" readingOrder="0" vertical="bottom"/>
    </xf>
    <xf borderId="0" fillId="6" fontId="3" numFmtId="0" xfId="0" applyAlignment="1" applyFont="1">
      <alignment horizontal="right" vertical="bottom"/>
    </xf>
    <xf borderId="0" fillId="6" fontId="3" numFmtId="0" xfId="0" applyAlignment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15" fontId="3" numFmtId="0" xfId="0" applyAlignment="1" applyFill="1" applyFont="1">
      <alignment readingOrder="0" vertical="bottom"/>
    </xf>
    <xf borderId="0" fillId="12" fontId="3" numFmtId="167" xfId="0" applyAlignment="1" applyFont="1" applyNumberFormat="1">
      <alignment horizontal="right" vertical="bottom"/>
    </xf>
    <xf borderId="0" fillId="15" fontId="3" numFmtId="0" xfId="0" applyAlignment="1" applyFont="1">
      <alignment horizontal="right" vertical="bottom"/>
    </xf>
    <xf borderId="0" fillId="15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167" xfId="0" applyAlignment="1" applyFont="1" applyNumberFormat="1">
      <alignment readingOrder="0" vertical="bottom"/>
    </xf>
    <xf borderId="0" fillId="0" fontId="3" numFmtId="172" xfId="0" applyAlignment="1" applyFont="1" applyNumberFormat="1">
      <alignment readingOrder="0" vertical="bottom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274E13"/>
          <bgColor rgb="FF274E1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4" pivot="0" name="Statu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ril_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3" displayName="Table2" name="Table2" id="1">
  <tableColumns count="8">
    <tableColumn name="/" id="1"/>
    <tableColumn name="Status" id="2"/>
    <tableColumn name="rent" id="3"/>
    <tableColumn name="Occupied" id="4"/>
    <tableColumn name="Rent Ready" id="5"/>
    <tableColumn name="Waiting List" id="6"/>
    <tableColumn name="Occupant" id="7"/>
    <tableColumn name="Notes" id="8"/>
  </tableColumns>
  <tableStyleInfo name="Status-style" showColumnStripes="0" showFirstColumn="1" showLastColumn="1" showRowStripes="1"/>
</table>
</file>

<file path=xl/tables/table2.xml><?xml version="1.0" encoding="utf-8"?>
<table xmlns="http://schemas.openxmlformats.org/spreadsheetml/2006/main" ref="A1:P34" displayName="Table1" name="Table1" id="2">
  <tableColumns count="16">
    <tableColumn name="room #" id="1"/>
    <tableColumn name="name" id="2"/>
    <tableColumn name="rent" id="3"/>
    <tableColumn name="period" id="4"/>
    <tableColumn name="past due" id="5"/>
    <tableColumn name="#of people" id="6"/>
    <tableColumn name="Occupied" id="7"/>
    <tableColumn name="Column 1" id="8"/>
    <tableColumn name="Pay Schedule" id="9"/>
    <tableColumn name="Due" id="10"/>
    <tableColumn name="paid" id="11"/>
    <tableColumn name="balance due" id="12"/>
    <tableColumn name="date paid" id="13"/>
    <tableColumn name="reciept #" id="14"/>
    <tableColumn name="Renuals" id="15"/>
    <tableColumn name="Guest" id="16"/>
  </tableColumns>
  <tableStyleInfo name="April_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factorydirectsupplyonline.com/products/diablo-steel-demon-reciprocating-saw-blade-pack-of-10?_pos=7&amp;_sid=5d5d7d1d0&amp;_ss=r&amp;_fid=e51ed1550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5"/>
    <col customWidth="1" min="4" max="4" width="15.75"/>
    <col customWidth="1" min="5" max="5" width="17.13"/>
    <col customWidth="1" min="6" max="6" width="21.75"/>
    <col customWidth="1" min="7" max="7" width="22.25"/>
    <col customWidth="1" min="8" max="8" width="101.5"/>
    <col customWidth="1" min="9" max="9" width="22.25"/>
    <col customWidth="1" min="10" max="10" width="1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100.0</v>
      </c>
      <c r="B2" s="2">
        <v>0.0</v>
      </c>
      <c r="C2" s="2">
        <v>640.0</v>
      </c>
      <c r="D2" s="3" t="s">
        <v>8</v>
      </c>
      <c r="E2" s="3" t="s">
        <v>8</v>
      </c>
      <c r="G2" s="4" t="s">
        <v>9</v>
      </c>
      <c r="H2" s="4"/>
    </row>
    <row r="3" ht="22.5" customHeight="1">
      <c r="A3" s="2">
        <v>101.0</v>
      </c>
      <c r="B3" s="2">
        <v>0.0</v>
      </c>
      <c r="C3" s="2">
        <v>640.0</v>
      </c>
      <c r="D3" s="3" t="s">
        <v>8</v>
      </c>
      <c r="E3" s="3" t="s">
        <v>8</v>
      </c>
      <c r="G3" s="4" t="s">
        <v>10</v>
      </c>
    </row>
    <row r="4" ht="22.5" customHeight="1">
      <c r="A4" s="2">
        <v>102.0</v>
      </c>
      <c r="B4" s="2">
        <v>0.0</v>
      </c>
      <c r="C4" s="2">
        <v>640.0</v>
      </c>
      <c r="D4" s="3" t="s">
        <v>8</v>
      </c>
      <c r="E4" s="3" t="s">
        <v>11</v>
      </c>
      <c r="G4" s="4" t="s">
        <v>12</v>
      </c>
    </row>
    <row r="5" ht="22.5" customHeight="1">
      <c r="A5" s="2">
        <v>103.0</v>
      </c>
      <c r="B5" s="2">
        <v>0.0</v>
      </c>
      <c r="C5" s="2">
        <v>640.0</v>
      </c>
      <c r="D5" s="3" t="s">
        <v>8</v>
      </c>
      <c r="E5" s="3" t="s">
        <v>8</v>
      </c>
      <c r="G5" s="4" t="s">
        <v>13</v>
      </c>
    </row>
    <row r="6" ht="22.5" customHeight="1">
      <c r="A6" s="2">
        <v>104.0</v>
      </c>
      <c r="B6" s="2">
        <v>0.0</v>
      </c>
      <c r="C6" s="2">
        <v>640.0</v>
      </c>
      <c r="D6" s="3" t="s">
        <v>8</v>
      </c>
      <c r="E6" s="3" t="s">
        <v>8</v>
      </c>
      <c r="G6" s="4" t="s">
        <v>14</v>
      </c>
    </row>
    <row r="7" ht="22.5" customHeight="1">
      <c r="A7" s="2">
        <v>105.0</v>
      </c>
      <c r="B7" s="2">
        <v>0.0</v>
      </c>
      <c r="C7" s="2">
        <v>640.0</v>
      </c>
      <c r="D7" s="3" t="s">
        <v>8</v>
      </c>
      <c r="E7" s="3" t="s">
        <v>8</v>
      </c>
      <c r="G7" s="4" t="s">
        <v>15</v>
      </c>
      <c r="H7" s="4"/>
    </row>
    <row r="8" ht="22.5" customHeight="1">
      <c r="A8" s="2">
        <v>106.0</v>
      </c>
      <c r="B8" s="2">
        <v>0.0</v>
      </c>
      <c r="C8" s="2">
        <v>640.0</v>
      </c>
      <c r="D8" s="3" t="s">
        <v>11</v>
      </c>
      <c r="E8" s="3" t="s">
        <v>16</v>
      </c>
      <c r="G8" s="4" t="s">
        <v>17</v>
      </c>
    </row>
    <row r="9" ht="22.5" customHeight="1">
      <c r="A9" s="2">
        <v>107.0</v>
      </c>
      <c r="B9" s="2">
        <v>3.0</v>
      </c>
      <c r="C9" s="2">
        <v>640.0</v>
      </c>
      <c r="D9" s="3" t="s">
        <v>11</v>
      </c>
      <c r="E9" s="3" t="s">
        <v>11</v>
      </c>
    </row>
    <row r="10" ht="22.5" customHeight="1">
      <c r="A10" s="2">
        <v>108.0</v>
      </c>
      <c r="B10" s="2">
        <v>3.0</v>
      </c>
      <c r="C10" s="2">
        <v>640.0</v>
      </c>
      <c r="D10" s="3" t="s">
        <v>11</v>
      </c>
      <c r="E10" s="3" t="s">
        <v>11</v>
      </c>
    </row>
    <row r="11" ht="22.5" customHeight="1">
      <c r="A11" s="2">
        <v>109.0</v>
      </c>
      <c r="B11" s="2">
        <v>0.0</v>
      </c>
      <c r="C11" s="2">
        <v>600.0</v>
      </c>
      <c r="D11" s="3" t="s">
        <v>8</v>
      </c>
      <c r="E11" s="3" t="s">
        <v>8</v>
      </c>
      <c r="G11" s="4" t="s">
        <v>18</v>
      </c>
      <c r="H11" s="4"/>
    </row>
    <row r="12" ht="22.5" customHeight="1">
      <c r="A12" s="2">
        <v>110.0</v>
      </c>
      <c r="B12" s="2">
        <v>0.0</v>
      </c>
      <c r="C12" s="2">
        <v>600.0</v>
      </c>
      <c r="D12" s="3" t="s">
        <v>8</v>
      </c>
      <c r="E12" s="3" t="s">
        <v>8</v>
      </c>
    </row>
    <row r="13" ht="22.5" customHeight="1">
      <c r="A13" s="2">
        <v>111.0</v>
      </c>
      <c r="B13" s="2">
        <v>0.0</v>
      </c>
      <c r="C13" s="2">
        <v>600.0</v>
      </c>
      <c r="D13" s="3" t="s">
        <v>8</v>
      </c>
      <c r="E13" s="3" t="s">
        <v>8</v>
      </c>
      <c r="G13" s="4" t="s">
        <v>19</v>
      </c>
    </row>
    <row r="14" ht="22.5" customHeight="1">
      <c r="A14" s="2">
        <v>112.0</v>
      </c>
      <c r="B14" s="2">
        <v>0.0</v>
      </c>
      <c r="C14" s="2">
        <v>600.0</v>
      </c>
      <c r="D14" s="3" t="s">
        <v>20</v>
      </c>
      <c r="E14" s="3" t="s">
        <v>8</v>
      </c>
      <c r="H14" s="4"/>
    </row>
    <row r="15" ht="22.5" customHeight="1">
      <c r="A15" s="2">
        <v>113.0</v>
      </c>
      <c r="B15" s="2">
        <v>0.0</v>
      </c>
      <c r="C15" s="2">
        <v>600.0</v>
      </c>
      <c r="D15" s="3" t="s">
        <v>8</v>
      </c>
      <c r="E15" s="3" t="s">
        <v>8</v>
      </c>
      <c r="G15" s="4" t="s">
        <v>21</v>
      </c>
    </row>
    <row r="16" ht="22.5" customHeight="1">
      <c r="A16" s="2">
        <v>114.0</v>
      </c>
      <c r="B16" s="2">
        <v>0.0</v>
      </c>
      <c r="C16" s="2">
        <v>600.0</v>
      </c>
      <c r="D16" s="3" t="s">
        <v>8</v>
      </c>
      <c r="E16" s="3" t="s">
        <v>8</v>
      </c>
    </row>
    <row r="17" ht="22.5" customHeight="1">
      <c r="A17" s="2">
        <v>215.0</v>
      </c>
      <c r="B17" s="2">
        <v>0.0</v>
      </c>
      <c r="C17" s="2">
        <v>640.0</v>
      </c>
      <c r="D17" s="3" t="s">
        <v>8</v>
      </c>
      <c r="E17" s="3" t="s">
        <v>8</v>
      </c>
    </row>
    <row r="18" ht="22.5" customHeight="1">
      <c r="A18" s="2">
        <v>216.0</v>
      </c>
      <c r="B18" s="2">
        <v>0.0</v>
      </c>
      <c r="C18" s="2">
        <v>640.0</v>
      </c>
      <c r="D18" s="3" t="s">
        <v>8</v>
      </c>
      <c r="E18" s="3" t="s">
        <v>8</v>
      </c>
      <c r="G18" s="4" t="s">
        <v>22</v>
      </c>
    </row>
    <row r="19" ht="22.5" customHeight="1">
      <c r="A19" s="2">
        <v>217.0</v>
      </c>
      <c r="B19" s="2">
        <v>0.0</v>
      </c>
      <c r="C19" s="2">
        <v>640.0</v>
      </c>
      <c r="D19" s="3" t="s">
        <v>8</v>
      </c>
      <c r="E19" s="3" t="s">
        <v>8</v>
      </c>
      <c r="G19" s="4" t="s">
        <v>23</v>
      </c>
      <c r="H19" s="4"/>
    </row>
    <row r="20" ht="22.5" customHeight="1">
      <c r="A20" s="2">
        <v>218.0</v>
      </c>
      <c r="B20" s="2">
        <v>0.0</v>
      </c>
      <c r="C20" s="2">
        <v>640.0</v>
      </c>
      <c r="D20" s="3" t="s">
        <v>8</v>
      </c>
      <c r="E20" s="3" t="s">
        <v>8</v>
      </c>
    </row>
    <row r="21" ht="22.5" customHeight="1">
      <c r="A21" s="2">
        <v>219.0</v>
      </c>
      <c r="B21" s="2">
        <v>0.0</v>
      </c>
      <c r="C21" s="2">
        <v>640.0</v>
      </c>
      <c r="D21" s="3" t="s">
        <v>8</v>
      </c>
      <c r="E21" s="3" t="s">
        <v>8</v>
      </c>
    </row>
    <row r="22" ht="22.5" customHeight="1">
      <c r="A22" s="2">
        <v>220.0</v>
      </c>
      <c r="B22" s="2">
        <v>0.0</v>
      </c>
      <c r="C22" s="2">
        <v>640.0</v>
      </c>
      <c r="D22" s="3" t="s">
        <v>8</v>
      </c>
      <c r="E22" s="3" t="s">
        <v>8</v>
      </c>
      <c r="G22" s="4" t="s">
        <v>24</v>
      </c>
    </row>
    <row r="23" ht="22.5" customHeight="1">
      <c r="A23" s="2">
        <v>221.0</v>
      </c>
      <c r="B23" s="2">
        <v>0.0</v>
      </c>
      <c r="C23" s="2">
        <v>640.0</v>
      </c>
      <c r="D23" s="3" t="s">
        <v>8</v>
      </c>
      <c r="E23" s="3" t="s">
        <v>8</v>
      </c>
      <c r="G23" s="4" t="s">
        <v>25</v>
      </c>
    </row>
    <row r="24" ht="22.5" customHeight="1">
      <c r="A24" s="2">
        <v>222.0</v>
      </c>
      <c r="B24" s="2">
        <v>0.0</v>
      </c>
      <c r="C24" s="2">
        <v>640.0</v>
      </c>
      <c r="D24" s="3" t="s">
        <v>8</v>
      </c>
      <c r="E24" s="3" t="s">
        <v>8</v>
      </c>
      <c r="G24" s="4" t="s">
        <v>26</v>
      </c>
    </row>
    <row r="25" ht="22.5" customHeight="1">
      <c r="A25" s="2">
        <v>223.0</v>
      </c>
      <c r="B25" s="2">
        <v>3.0</v>
      </c>
      <c r="C25" s="2">
        <v>640.0</v>
      </c>
      <c r="D25" s="3" t="s">
        <v>11</v>
      </c>
      <c r="E25" s="3" t="s">
        <v>11</v>
      </c>
      <c r="H25" s="4"/>
    </row>
    <row r="26" ht="22.5" customHeight="1">
      <c r="A26" s="2">
        <v>224.0</v>
      </c>
      <c r="B26" s="2">
        <v>3.0</v>
      </c>
      <c r="C26" s="2">
        <v>640.0</v>
      </c>
      <c r="D26" s="3" t="s">
        <v>11</v>
      </c>
      <c r="E26" s="3" t="s">
        <v>11</v>
      </c>
    </row>
    <row r="27" ht="22.5" customHeight="1">
      <c r="A27" s="2">
        <v>225.0</v>
      </c>
      <c r="B27" s="2">
        <v>0.0</v>
      </c>
      <c r="C27" s="2">
        <v>600.0</v>
      </c>
      <c r="D27" s="3" t="s">
        <v>8</v>
      </c>
      <c r="E27" s="3" t="s">
        <v>8</v>
      </c>
    </row>
    <row r="28" ht="22.5" customHeight="1">
      <c r="A28" s="2">
        <v>226.0</v>
      </c>
      <c r="B28" s="2">
        <v>0.0</v>
      </c>
      <c r="C28" s="2">
        <v>600.0</v>
      </c>
      <c r="D28" s="3" t="s">
        <v>8</v>
      </c>
      <c r="E28" s="3" t="s">
        <v>8</v>
      </c>
      <c r="G28" s="4" t="s">
        <v>27</v>
      </c>
    </row>
    <row r="29" ht="22.5" customHeight="1">
      <c r="A29" s="2">
        <v>227.0</v>
      </c>
      <c r="B29" s="2">
        <v>0.0</v>
      </c>
      <c r="C29" s="2">
        <v>600.0</v>
      </c>
      <c r="D29" s="3" t="s">
        <v>8</v>
      </c>
      <c r="E29" s="3" t="s">
        <v>8</v>
      </c>
      <c r="G29" s="4" t="s">
        <v>28</v>
      </c>
    </row>
    <row r="30" ht="22.5" customHeight="1">
      <c r="A30" s="2">
        <v>228.0</v>
      </c>
      <c r="B30" s="2">
        <v>0.0</v>
      </c>
      <c r="C30" s="2">
        <v>600.0</v>
      </c>
      <c r="D30" s="3" t="s">
        <v>8</v>
      </c>
      <c r="E30" s="3" t="s">
        <v>8</v>
      </c>
      <c r="G30" s="4" t="s">
        <v>29</v>
      </c>
    </row>
    <row r="31" ht="22.5" customHeight="1">
      <c r="A31" s="2">
        <v>229.0</v>
      </c>
      <c r="B31" s="2">
        <v>0.0</v>
      </c>
      <c r="C31" s="2">
        <v>600.0</v>
      </c>
      <c r="D31" s="3" t="s">
        <v>8</v>
      </c>
      <c r="E31" s="3" t="s">
        <v>8</v>
      </c>
      <c r="G31" s="4" t="s">
        <v>30</v>
      </c>
    </row>
    <row r="32" ht="22.5" customHeight="1">
      <c r="A32" s="2">
        <v>230.0</v>
      </c>
      <c r="B32" s="2">
        <v>0.0</v>
      </c>
      <c r="C32" s="2">
        <v>600.0</v>
      </c>
      <c r="D32" s="3" t="s">
        <v>8</v>
      </c>
      <c r="E32" s="3" t="s">
        <v>8</v>
      </c>
      <c r="G32" s="4" t="s">
        <v>31</v>
      </c>
    </row>
    <row r="33" ht="22.5" customHeight="1">
      <c r="A33" s="4" t="s">
        <v>32</v>
      </c>
      <c r="B33" s="2">
        <f>-640*4</f>
        <v>-2560</v>
      </c>
      <c r="C33" s="5">
        <f>SUM(C2:C32)</f>
        <v>19360</v>
      </c>
      <c r="D33" s="6"/>
      <c r="E33" s="6"/>
      <c r="H33" s="5">
        <f>SUM(C33+B33)</f>
        <v>16800</v>
      </c>
    </row>
    <row r="35">
      <c r="A35" s="7" t="s">
        <v>33</v>
      </c>
      <c r="B35" s="8">
        <f>SUM(H33)</f>
        <v>16800</v>
      </c>
    </row>
    <row r="36">
      <c r="A36" s="7" t="s">
        <v>34</v>
      </c>
      <c r="B36" s="9">
        <f>Expenses!B12</f>
        <v>7647</v>
      </c>
    </row>
    <row r="38">
      <c r="A38" s="7" t="s">
        <v>35</v>
      </c>
      <c r="B38" s="8">
        <f>SUM(B35-B36)</f>
        <v>9153</v>
      </c>
    </row>
  </sheetData>
  <conditionalFormatting sqref="B1:B1003">
    <cfRule type="containsText" dxfId="5" priority="1" operator="containsText" text="1">
      <formula>NOT(ISERROR(SEARCH(("1"),(B1))))</formula>
    </cfRule>
  </conditionalFormatting>
  <conditionalFormatting sqref="B1:B1003">
    <cfRule type="containsText" dxfId="6" priority="2" operator="containsText" text="2">
      <formula>NOT(ISERROR(SEARCH(("2"),(B1))))</formula>
    </cfRule>
  </conditionalFormatting>
  <conditionalFormatting sqref="B1:B1003">
    <cfRule type="containsText" dxfId="7" priority="3" operator="containsText" text="3">
      <formula>NOT(ISERROR(SEARCH(("3"),(B1))))</formula>
    </cfRule>
  </conditionalFormatting>
  <conditionalFormatting sqref="B1:B1003">
    <cfRule type="containsText" dxfId="8" priority="4" operator="containsText" text="0">
      <formula>NOT(ISERROR(SEARCH(("0"),(B1))))</formula>
    </cfRule>
  </conditionalFormatting>
  <dataValidations>
    <dataValidation type="list" allowBlank="1" showDropDown="1" showErrorMessage="1" sqref="D2:D33">
      <formula1>"y,n,v"</formula1>
    </dataValidation>
    <dataValidation type="custom" allowBlank="1" showDropDown="1" sqref="A2:C33">
      <formula1>AND(ISNUMBER(A2),(NOT(OR(NOT(ISERROR(DATEVALUE(A2))), AND(ISNUMBER(A2), LEFT(CELL("format", A2))="D")))))</formula1>
    </dataValidation>
    <dataValidation type="list" allowBlank="1" showDropDown="1" showErrorMessage="1" sqref="E2:E33">
      <formula1>"y,n,Y"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</cols>
  <sheetData>
    <row r="1">
      <c r="A1" s="7" t="s">
        <v>36</v>
      </c>
      <c r="B1" s="7" t="s">
        <v>37</v>
      </c>
      <c r="C1" s="7" t="s">
        <v>2</v>
      </c>
      <c r="D1" s="7" t="s">
        <v>38</v>
      </c>
      <c r="E1" s="7" t="s">
        <v>39</v>
      </c>
      <c r="F1" s="7" t="s">
        <v>40</v>
      </c>
      <c r="G1" s="7" t="s">
        <v>3</v>
      </c>
      <c r="I1" s="7" t="s">
        <v>41</v>
      </c>
      <c r="J1" s="7" t="s">
        <v>42</v>
      </c>
      <c r="K1" s="7" t="s">
        <v>43</v>
      </c>
      <c r="L1" s="7" t="s">
        <v>44</v>
      </c>
      <c r="M1" s="7" t="s">
        <v>45</v>
      </c>
      <c r="N1" s="7" t="s">
        <v>46</v>
      </c>
      <c r="O1" s="7" t="s">
        <v>47</v>
      </c>
    </row>
    <row r="2">
      <c r="A2" s="7">
        <v>100.0</v>
      </c>
      <c r="B2" s="7" t="s">
        <v>48</v>
      </c>
      <c r="C2" s="7">
        <v>640.0</v>
      </c>
      <c r="D2" s="7">
        <v>4.0</v>
      </c>
      <c r="G2" s="7" t="s">
        <v>8</v>
      </c>
      <c r="I2" s="7" t="s">
        <v>49</v>
      </c>
      <c r="J2" s="7">
        <v>600.0</v>
      </c>
      <c r="K2" s="7" t="s">
        <v>50</v>
      </c>
      <c r="L2" s="7" t="s">
        <v>51</v>
      </c>
      <c r="M2" s="7" t="s">
        <v>52</v>
      </c>
      <c r="N2" s="7" t="s">
        <v>53</v>
      </c>
    </row>
    <row r="3">
      <c r="A3" s="7">
        <v>101.0</v>
      </c>
      <c r="B3" s="7" t="s">
        <v>10</v>
      </c>
      <c r="C3" s="7">
        <v>640.0</v>
      </c>
      <c r="D3" s="7">
        <v>4.0</v>
      </c>
      <c r="G3" s="7" t="s">
        <v>8</v>
      </c>
      <c r="I3" s="7">
        <v>640.0</v>
      </c>
    </row>
    <row r="4">
      <c r="A4" s="7">
        <v>102.0</v>
      </c>
      <c r="B4" s="7" t="s">
        <v>54</v>
      </c>
      <c r="C4" s="7">
        <v>640.0</v>
      </c>
      <c r="D4" s="7">
        <v>3.0</v>
      </c>
      <c r="G4" s="7" t="s">
        <v>8</v>
      </c>
      <c r="I4" s="7" t="s">
        <v>55</v>
      </c>
      <c r="J4" s="7">
        <v>480.0</v>
      </c>
      <c r="K4" s="7">
        <v>160.0</v>
      </c>
      <c r="L4" s="7" t="s">
        <v>56</v>
      </c>
      <c r="M4" s="7" t="s">
        <v>57</v>
      </c>
      <c r="N4" s="7" t="s">
        <v>58</v>
      </c>
    </row>
    <row r="5">
      <c r="A5" s="7">
        <v>103.0</v>
      </c>
      <c r="B5" s="7" t="s">
        <v>13</v>
      </c>
      <c r="C5" s="7">
        <v>640.0</v>
      </c>
      <c r="D5" s="7">
        <v>1.0</v>
      </c>
      <c r="E5" s="7" t="s">
        <v>55</v>
      </c>
      <c r="G5" s="7" t="s">
        <v>8</v>
      </c>
      <c r="I5" s="7">
        <v>820.0</v>
      </c>
      <c r="J5" s="7">
        <v>600.0</v>
      </c>
      <c r="K5" s="7"/>
      <c r="L5" s="7" t="s">
        <v>59</v>
      </c>
      <c r="M5" s="7" t="s">
        <v>60</v>
      </c>
      <c r="N5" s="7" t="s">
        <v>58</v>
      </c>
    </row>
    <row r="6">
      <c r="A6" s="7">
        <v>104.0</v>
      </c>
      <c r="B6" s="7" t="s">
        <v>61</v>
      </c>
      <c r="C6" s="7">
        <v>640.0</v>
      </c>
      <c r="G6" s="7" t="s">
        <v>20</v>
      </c>
    </row>
    <row r="7">
      <c r="A7" s="7">
        <v>105.0</v>
      </c>
      <c r="C7" s="7">
        <v>640.0</v>
      </c>
      <c r="G7" s="7" t="s">
        <v>11</v>
      </c>
    </row>
    <row r="8">
      <c r="A8" s="7">
        <v>106.0</v>
      </c>
      <c r="C8" s="7">
        <v>640.0</v>
      </c>
      <c r="G8" s="7" t="s">
        <v>11</v>
      </c>
    </row>
    <row r="9">
      <c r="A9" s="7">
        <v>107.0</v>
      </c>
      <c r="C9" s="7">
        <v>640.0</v>
      </c>
      <c r="G9" s="7" t="s">
        <v>11</v>
      </c>
    </row>
    <row r="10">
      <c r="A10" s="7">
        <v>108.0</v>
      </c>
      <c r="C10" s="7">
        <v>640.0</v>
      </c>
      <c r="G10" s="7" t="s">
        <v>11</v>
      </c>
    </row>
    <row r="11">
      <c r="A11" s="7">
        <v>109.0</v>
      </c>
      <c r="C11" s="7">
        <v>600.0</v>
      </c>
      <c r="G11" s="7" t="s">
        <v>11</v>
      </c>
      <c r="I11" s="7">
        <v>610.0</v>
      </c>
      <c r="J11" s="7">
        <v>80.0</v>
      </c>
      <c r="K11" s="7">
        <v>530.0</v>
      </c>
      <c r="L11" s="10">
        <v>45692.0</v>
      </c>
      <c r="M11" s="7">
        <v>1232.0</v>
      </c>
      <c r="N11" s="7" t="s">
        <v>58</v>
      </c>
    </row>
    <row r="12">
      <c r="A12" s="7">
        <v>110.0</v>
      </c>
      <c r="B12" s="7" t="s">
        <v>62</v>
      </c>
      <c r="C12" s="7">
        <v>600.0</v>
      </c>
      <c r="D12" s="7">
        <v>3.0</v>
      </c>
      <c r="E12" s="7">
        <v>10.0</v>
      </c>
      <c r="G12" s="7" t="s">
        <v>8</v>
      </c>
      <c r="I12" s="7">
        <v>600.0</v>
      </c>
      <c r="J12" s="7">
        <v>240.0</v>
      </c>
      <c r="K12" s="7">
        <v>160.0</v>
      </c>
      <c r="L12" s="7" t="s">
        <v>63</v>
      </c>
      <c r="M12" s="7" t="s">
        <v>64</v>
      </c>
      <c r="N12" s="7" t="s">
        <v>58</v>
      </c>
    </row>
    <row r="13">
      <c r="A13" s="7">
        <v>111.0</v>
      </c>
      <c r="B13" s="7" t="s">
        <v>19</v>
      </c>
      <c r="C13" s="7">
        <v>600.0</v>
      </c>
      <c r="D13" s="7">
        <v>2.0</v>
      </c>
      <c r="G13" s="7" t="s">
        <v>8</v>
      </c>
      <c r="I13" s="7">
        <v>600.0</v>
      </c>
      <c r="J13" s="7">
        <v>300.0</v>
      </c>
      <c r="K13" s="7">
        <v>300.0</v>
      </c>
      <c r="L13" s="10">
        <v>45695.0</v>
      </c>
      <c r="M13" s="7" t="s">
        <v>65</v>
      </c>
      <c r="N13" s="7" t="s">
        <v>58</v>
      </c>
    </row>
    <row r="14">
      <c r="A14" s="7">
        <v>112.0</v>
      </c>
      <c r="B14" s="7" t="s">
        <v>66</v>
      </c>
      <c r="C14" s="7">
        <v>600.0</v>
      </c>
      <c r="D14" s="7">
        <v>4.0</v>
      </c>
      <c r="G14" s="7" t="s">
        <v>20</v>
      </c>
      <c r="I14" s="7" t="s">
        <v>67</v>
      </c>
      <c r="J14" s="7">
        <v>600.0</v>
      </c>
      <c r="K14" s="7" t="s">
        <v>68</v>
      </c>
      <c r="L14" s="10">
        <v>45715.0</v>
      </c>
      <c r="M14" s="7">
        <v>1263.0</v>
      </c>
      <c r="N14" s="7" t="s">
        <v>58</v>
      </c>
    </row>
    <row r="15">
      <c r="A15" s="7">
        <v>113.0</v>
      </c>
      <c r="B15" s="7" t="s">
        <v>21</v>
      </c>
      <c r="C15" s="7">
        <v>600.0</v>
      </c>
      <c r="D15" s="7">
        <v>4.0</v>
      </c>
      <c r="G15" s="7" t="s">
        <v>8</v>
      </c>
      <c r="I15" s="7">
        <v>450.0</v>
      </c>
      <c r="J15" s="7">
        <v>450.0</v>
      </c>
      <c r="L15" s="10">
        <v>45688.0</v>
      </c>
      <c r="M15" s="7">
        <v>1223.0</v>
      </c>
      <c r="N15" s="7" t="s">
        <v>69</v>
      </c>
    </row>
    <row r="16">
      <c r="A16" s="7">
        <v>114.0</v>
      </c>
      <c r="B16" s="7" t="s">
        <v>70</v>
      </c>
      <c r="C16" s="7">
        <v>600.0</v>
      </c>
      <c r="D16" s="7">
        <v>4.0</v>
      </c>
      <c r="G16" s="7" t="s">
        <v>8</v>
      </c>
      <c r="I16" s="7">
        <v>280.0</v>
      </c>
      <c r="J16" s="7">
        <v>280.0</v>
      </c>
      <c r="L16" s="10">
        <v>45681.0</v>
      </c>
      <c r="M16" s="7">
        <v>1212.0</v>
      </c>
      <c r="N16" s="7" t="s">
        <v>69</v>
      </c>
    </row>
    <row r="17">
      <c r="A17" s="7">
        <v>215.0</v>
      </c>
      <c r="B17" s="7" t="s">
        <v>71</v>
      </c>
      <c r="C17" s="7">
        <v>640.0</v>
      </c>
      <c r="D17" s="7">
        <v>4.0</v>
      </c>
      <c r="G17" s="7" t="s">
        <v>8</v>
      </c>
      <c r="I17" s="7">
        <v>640.0</v>
      </c>
      <c r="J17" s="7">
        <v>620.0</v>
      </c>
      <c r="L17" s="7" t="s">
        <v>72</v>
      </c>
      <c r="M17" s="7" t="s">
        <v>73</v>
      </c>
    </row>
    <row r="18">
      <c r="A18" s="7">
        <v>216.0</v>
      </c>
      <c r="B18" s="7" t="s">
        <v>22</v>
      </c>
      <c r="C18" s="7">
        <v>640.0</v>
      </c>
      <c r="D18" s="7">
        <v>4.0</v>
      </c>
      <c r="G18" s="7" t="s">
        <v>8</v>
      </c>
      <c r="I18" s="7">
        <v>600.0</v>
      </c>
      <c r="J18" s="7">
        <v>600.0</v>
      </c>
      <c r="K18" s="7" t="s">
        <v>74</v>
      </c>
      <c r="L18" s="7" t="s">
        <v>75</v>
      </c>
      <c r="M18" s="7" t="s">
        <v>76</v>
      </c>
      <c r="N18" s="7" t="s">
        <v>58</v>
      </c>
    </row>
    <row r="19">
      <c r="A19" s="7">
        <v>217.0</v>
      </c>
      <c r="B19" s="7"/>
      <c r="C19" s="7">
        <v>640.0</v>
      </c>
      <c r="D19" s="7"/>
      <c r="G19" s="7" t="s">
        <v>8</v>
      </c>
      <c r="I19" s="7"/>
      <c r="J19" s="7"/>
      <c r="L19" s="10"/>
      <c r="M19" s="7"/>
      <c r="N19" s="7"/>
    </row>
    <row r="20">
      <c r="A20" s="7">
        <v>218.0</v>
      </c>
      <c r="B20" s="7" t="s">
        <v>77</v>
      </c>
      <c r="C20" s="7">
        <v>640.0</v>
      </c>
      <c r="D20" s="7">
        <v>4.0</v>
      </c>
      <c r="G20" s="7" t="s">
        <v>8</v>
      </c>
      <c r="I20" s="7">
        <v>640.0</v>
      </c>
      <c r="J20" s="7">
        <v>630.0</v>
      </c>
      <c r="L20" s="7" t="s">
        <v>78</v>
      </c>
      <c r="M20" s="7" t="s">
        <v>79</v>
      </c>
      <c r="N20" s="7" t="s">
        <v>80</v>
      </c>
      <c r="O20" s="7" t="s">
        <v>81</v>
      </c>
    </row>
    <row r="21">
      <c r="A21" s="7">
        <v>219.0</v>
      </c>
      <c r="B21" s="7" t="s">
        <v>82</v>
      </c>
      <c r="C21" s="7">
        <v>640.0</v>
      </c>
      <c r="D21" s="7">
        <v>4.0</v>
      </c>
      <c r="G21" s="7" t="s">
        <v>8</v>
      </c>
      <c r="I21" s="7">
        <v>640.0</v>
      </c>
      <c r="J21" s="7">
        <v>640.0</v>
      </c>
      <c r="L21" s="7" t="s">
        <v>83</v>
      </c>
      <c r="M21" s="7" t="s">
        <v>84</v>
      </c>
      <c r="N21" s="7" t="s">
        <v>80</v>
      </c>
    </row>
    <row r="22">
      <c r="A22" s="7">
        <v>220.0</v>
      </c>
      <c r="B22" s="7" t="s">
        <v>27</v>
      </c>
      <c r="C22" s="7">
        <v>640.0</v>
      </c>
      <c r="D22" s="7">
        <v>3.0</v>
      </c>
      <c r="G22" s="7" t="s">
        <v>8</v>
      </c>
      <c r="I22" s="7">
        <v>640.0</v>
      </c>
      <c r="J22" s="7">
        <v>600.0</v>
      </c>
      <c r="K22" s="7" t="s">
        <v>85</v>
      </c>
      <c r="L22" s="7" t="s">
        <v>86</v>
      </c>
      <c r="M22" s="7" t="s">
        <v>87</v>
      </c>
      <c r="N22" s="7" t="s">
        <v>58</v>
      </c>
    </row>
    <row r="23">
      <c r="A23" s="7">
        <v>221.0</v>
      </c>
      <c r="B23" s="7" t="s">
        <v>88</v>
      </c>
      <c r="C23" s="7">
        <v>640.0</v>
      </c>
      <c r="D23" s="7">
        <v>4.0</v>
      </c>
      <c r="G23" s="7" t="s">
        <v>8</v>
      </c>
      <c r="I23" s="7">
        <v>640.0</v>
      </c>
      <c r="J23" s="7">
        <v>640.0</v>
      </c>
      <c r="K23" s="7" t="s">
        <v>89</v>
      </c>
      <c r="L23" s="7" t="s">
        <v>90</v>
      </c>
      <c r="M23" s="7" t="s">
        <v>91</v>
      </c>
      <c r="N23" s="7" t="s">
        <v>80</v>
      </c>
    </row>
    <row r="24">
      <c r="A24" s="7">
        <v>222.0</v>
      </c>
      <c r="B24" s="7" t="s">
        <v>92</v>
      </c>
      <c r="C24" s="7">
        <v>640.0</v>
      </c>
      <c r="D24" s="7">
        <v>-4.0</v>
      </c>
      <c r="G24" s="7" t="s">
        <v>8</v>
      </c>
      <c r="K24" s="7">
        <v>680.0</v>
      </c>
    </row>
    <row r="25">
      <c r="A25" s="7">
        <v>223.0</v>
      </c>
      <c r="C25" s="7">
        <v>640.0</v>
      </c>
      <c r="G25" s="7" t="s">
        <v>11</v>
      </c>
    </row>
    <row r="26">
      <c r="A26" s="7">
        <v>224.0</v>
      </c>
      <c r="C26" s="7">
        <v>640.0</v>
      </c>
      <c r="G26" s="7" t="s">
        <v>11</v>
      </c>
    </row>
    <row r="27">
      <c r="A27" s="7">
        <v>225.0</v>
      </c>
      <c r="B27" s="7" t="s">
        <v>93</v>
      </c>
      <c r="C27" s="7">
        <v>600.0</v>
      </c>
      <c r="D27" s="7">
        <v>4.0</v>
      </c>
      <c r="G27" s="7" t="s">
        <v>8</v>
      </c>
      <c r="I27" s="7">
        <v>600.0</v>
      </c>
      <c r="J27" s="7">
        <v>600.0</v>
      </c>
      <c r="K27" s="7" t="s">
        <v>74</v>
      </c>
      <c r="L27" s="7" t="s">
        <v>94</v>
      </c>
      <c r="M27" s="7" t="s">
        <v>95</v>
      </c>
      <c r="N27" s="7" t="s">
        <v>80</v>
      </c>
    </row>
    <row r="28">
      <c r="A28" s="7">
        <v>226.0</v>
      </c>
      <c r="B28" s="7" t="s">
        <v>96</v>
      </c>
      <c r="C28" s="7">
        <v>600.0</v>
      </c>
      <c r="D28" s="7">
        <v>4.0</v>
      </c>
      <c r="G28" s="7" t="s">
        <v>8</v>
      </c>
      <c r="I28" s="7" t="s">
        <v>97</v>
      </c>
      <c r="J28" s="7">
        <v>220.0</v>
      </c>
      <c r="K28" s="7" t="s">
        <v>98</v>
      </c>
      <c r="L28" s="10">
        <v>45713.0</v>
      </c>
      <c r="M28" s="7" t="s">
        <v>99</v>
      </c>
      <c r="N28" s="7" t="s">
        <v>100</v>
      </c>
    </row>
    <row r="29">
      <c r="A29" s="7">
        <v>227.0</v>
      </c>
      <c r="B29" s="7" t="s">
        <v>101</v>
      </c>
      <c r="C29" s="7">
        <v>600.0</v>
      </c>
      <c r="D29" s="7">
        <v>4.0</v>
      </c>
      <c r="G29" s="7" t="s">
        <v>8</v>
      </c>
      <c r="J29" s="7" t="s">
        <v>0</v>
      </c>
      <c r="L29" s="11">
        <v>46024.0</v>
      </c>
      <c r="M29" s="7">
        <v>938759.0</v>
      </c>
    </row>
    <row r="30">
      <c r="A30" s="7">
        <v>228.0</v>
      </c>
      <c r="B30" s="7" t="s">
        <v>29</v>
      </c>
      <c r="C30" s="7">
        <v>600.0</v>
      </c>
      <c r="D30" s="7">
        <v>4.0</v>
      </c>
      <c r="G30" s="7" t="s">
        <v>8</v>
      </c>
      <c r="I30" s="7">
        <v>600.0</v>
      </c>
      <c r="K30" s="7" t="s">
        <v>102</v>
      </c>
      <c r="L30" s="7" t="s">
        <v>103</v>
      </c>
      <c r="M30" s="7" t="s">
        <v>104</v>
      </c>
      <c r="N30" s="7" t="s">
        <v>58</v>
      </c>
    </row>
    <row r="31">
      <c r="A31" s="7">
        <v>229.0</v>
      </c>
      <c r="B31" s="7" t="s">
        <v>105</v>
      </c>
      <c r="C31" s="7">
        <v>600.0</v>
      </c>
      <c r="D31" s="7">
        <v>4.0</v>
      </c>
      <c r="G31" s="7" t="s">
        <v>8</v>
      </c>
      <c r="I31" s="7">
        <v>600.0</v>
      </c>
      <c r="J31" s="7">
        <v>600.0</v>
      </c>
      <c r="L31" s="7" t="s">
        <v>103</v>
      </c>
      <c r="M31" s="7" t="s">
        <v>106</v>
      </c>
      <c r="N31" s="7" t="s">
        <v>58</v>
      </c>
    </row>
    <row r="32">
      <c r="A32" s="7">
        <v>230.0</v>
      </c>
      <c r="B32" s="7" t="s">
        <v>107</v>
      </c>
      <c r="C32" s="7">
        <v>600.0</v>
      </c>
      <c r="D32" s="7">
        <v>3.0</v>
      </c>
      <c r="G32" s="7" t="s">
        <v>8</v>
      </c>
      <c r="I32" s="7">
        <v>600.0</v>
      </c>
      <c r="J32" s="7">
        <v>450.0</v>
      </c>
      <c r="K32" s="7" t="s">
        <v>74</v>
      </c>
      <c r="L32" s="7" t="s">
        <v>108</v>
      </c>
      <c r="M32" s="7" t="s">
        <v>109</v>
      </c>
      <c r="N32" s="7" t="s">
        <v>69</v>
      </c>
    </row>
    <row r="34">
      <c r="J34" s="7">
        <f>SUM(J2:J32)</f>
        <v>9230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12" max="13" width="24.75"/>
  </cols>
  <sheetData>
    <row r="1">
      <c r="A1" s="7" t="s">
        <v>36</v>
      </c>
      <c r="B1" s="7" t="s">
        <v>37</v>
      </c>
      <c r="C1" s="7" t="s">
        <v>2</v>
      </c>
      <c r="D1" s="7" t="s">
        <v>38</v>
      </c>
      <c r="E1" s="7" t="s">
        <v>39</v>
      </c>
      <c r="F1" s="7" t="s">
        <v>40</v>
      </c>
      <c r="G1" s="7" t="s">
        <v>3</v>
      </c>
      <c r="I1" s="7" t="s">
        <v>41</v>
      </c>
      <c r="J1" s="7" t="s">
        <v>42</v>
      </c>
      <c r="K1" s="7" t="s">
        <v>43</v>
      </c>
      <c r="L1" s="7" t="s">
        <v>110</v>
      </c>
      <c r="M1" s="7" t="s">
        <v>45</v>
      </c>
      <c r="N1" s="7" t="s">
        <v>46</v>
      </c>
      <c r="O1" s="7" t="s">
        <v>47</v>
      </c>
    </row>
    <row r="2">
      <c r="A2" s="7">
        <v>100.0</v>
      </c>
      <c r="B2" s="7" t="s">
        <v>48</v>
      </c>
      <c r="C2" s="7">
        <v>640.0</v>
      </c>
      <c r="D2" s="7">
        <v>4.0</v>
      </c>
      <c r="G2" s="7" t="s">
        <v>8</v>
      </c>
      <c r="I2" s="7" t="s">
        <v>49</v>
      </c>
      <c r="J2" s="7">
        <v>640.0</v>
      </c>
      <c r="K2" s="7" t="s">
        <v>50</v>
      </c>
      <c r="L2" s="7" t="s">
        <v>111</v>
      </c>
      <c r="M2" s="7" t="s">
        <v>52</v>
      </c>
      <c r="N2" s="7" t="s">
        <v>53</v>
      </c>
    </row>
    <row r="3">
      <c r="A3" s="7">
        <v>101.0</v>
      </c>
      <c r="B3" s="7" t="s">
        <v>10</v>
      </c>
      <c r="C3" s="7">
        <v>640.0</v>
      </c>
      <c r="D3" s="7">
        <v>4.0</v>
      </c>
      <c r="G3" s="7" t="s">
        <v>8</v>
      </c>
      <c r="I3" s="7">
        <v>640.0</v>
      </c>
    </row>
    <row r="4">
      <c r="A4" s="7">
        <v>102.0</v>
      </c>
      <c r="B4" s="7" t="s">
        <v>54</v>
      </c>
      <c r="C4" s="7">
        <v>640.0</v>
      </c>
      <c r="D4" s="7">
        <v>4.0</v>
      </c>
      <c r="G4" s="7" t="s">
        <v>8</v>
      </c>
      <c r="I4" s="7" t="s">
        <v>55</v>
      </c>
      <c r="J4" s="7">
        <v>640.0</v>
      </c>
      <c r="K4" s="7">
        <v>0.0</v>
      </c>
      <c r="L4" s="7" t="s">
        <v>56</v>
      </c>
      <c r="M4" s="7" t="s">
        <v>57</v>
      </c>
      <c r="N4" s="7" t="s">
        <v>58</v>
      </c>
    </row>
    <row r="5">
      <c r="A5" s="7">
        <v>103.0</v>
      </c>
      <c r="B5" s="7" t="s">
        <v>13</v>
      </c>
      <c r="C5" s="7">
        <v>640.0</v>
      </c>
      <c r="D5" s="7">
        <v>1.0</v>
      </c>
      <c r="E5" s="7" t="s">
        <v>55</v>
      </c>
      <c r="G5" s="7" t="s">
        <v>8</v>
      </c>
      <c r="I5" s="7">
        <v>820.0</v>
      </c>
      <c r="J5" s="7">
        <v>640.0</v>
      </c>
      <c r="K5" s="7"/>
      <c r="L5" s="7" t="s">
        <v>59</v>
      </c>
      <c r="M5" s="7" t="s">
        <v>60</v>
      </c>
      <c r="N5" s="7" t="s">
        <v>58</v>
      </c>
    </row>
    <row r="6">
      <c r="A6" s="7">
        <v>104.0</v>
      </c>
      <c r="B6" s="7" t="s">
        <v>61</v>
      </c>
      <c r="C6" s="7">
        <v>640.0</v>
      </c>
      <c r="G6" s="7" t="s">
        <v>20</v>
      </c>
    </row>
    <row r="7">
      <c r="A7" s="7">
        <v>105.0</v>
      </c>
      <c r="C7" s="7">
        <v>640.0</v>
      </c>
      <c r="G7" s="7" t="s">
        <v>11</v>
      </c>
    </row>
    <row r="8">
      <c r="A8" s="7">
        <v>106.0</v>
      </c>
      <c r="C8" s="7">
        <v>640.0</v>
      </c>
      <c r="G8" s="7" t="s">
        <v>11</v>
      </c>
    </row>
    <row r="9">
      <c r="A9" s="7">
        <v>107.0</v>
      </c>
      <c r="C9" s="7">
        <v>640.0</v>
      </c>
      <c r="G9" s="7" t="s">
        <v>11</v>
      </c>
    </row>
    <row r="10">
      <c r="A10" s="7">
        <v>108.0</v>
      </c>
      <c r="C10" s="7">
        <v>640.0</v>
      </c>
      <c r="G10" s="7" t="s">
        <v>11</v>
      </c>
    </row>
    <row r="11">
      <c r="A11" s="7">
        <v>109.0</v>
      </c>
      <c r="C11" s="7">
        <v>600.0</v>
      </c>
      <c r="G11" s="7" t="s">
        <v>11</v>
      </c>
      <c r="I11" s="7">
        <v>610.0</v>
      </c>
      <c r="J11" s="7">
        <v>80.0</v>
      </c>
      <c r="K11" s="7">
        <v>530.0</v>
      </c>
      <c r="L11" s="10">
        <v>45692.0</v>
      </c>
      <c r="M11" s="7">
        <v>1232.0</v>
      </c>
      <c r="N11" s="7" t="s">
        <v>58</v>
      </c>
    </row>
    <row r="12">
      <c r="A12" s="7">
        <v>110.0</v>
      </c>
      <c r="B12" s="7" t="s">
        <v>62</v>
      </c>
      <c r="C12" s="7">
        <v>600.0</v>
      </c>
      <c r="D12" s="7">
        <v>3.0</v>
      </c>
      <c r="E12" s="7">
        <v>10.0</v>
      </c>
      <c r="G12" s="7" t="s">
        <v>8</v>
      </c>
      <c r="I12" s="7">
        <v>600.0</v>
      </c>
      <c r="J12" s="7">
        <v>600.0</v>
      </c>
      <c r="K12" s="7">
        <v>0.0</v>
      </c>
      <c r="L12" s="7" t="s">
        <v>112</v>
      </c>
      <c r="M12" s="7" t="s">
        <v>113</v>
      </c>
      <c r="N12" s="7" t="s">
        <v>114</v>
      </c>
    </row>
    <row r="13">
      <c r="A13" s="7">
        <v>111.0</v>
      </c>
      <c r="B13" s="7" t="s">
        <v>19</v>
      </c>
      <c r="C13" s="7">
        <v>600.0</v>
      </c>
      <c r="D13" s="7">
        <v>4.0</v>
      </c>
      <c r="G13" s="7" t="s">
        <v>8</v>
      </c>
      <c r="I13" s="7">
        <v>600.0</v>
      </c>
      <c r="J13" s="7">
        <v>600.0</v>
      </c>
      <c r="K13" s="7"/>
      <c r="L13" s="10">
        <v>45695.0</v>
      </c>
      <c r="M13" s="7" t="s">
        <v>65</v>
      </c>
      <c r="N13" s="7" t="s">
        <v>58</v>
      </c>
    </row>
    <row r="14">
      <c r="A14" s="7">
        <v>112.0</v>
      </c>
      <c r="B14" s="7" t="s">
        <v>66</v>
      </c>
      <c r="C14" s="7">
        <v>600.0</v>
      </c>
      <c r="D14" s="7">
        <v>4.0</v>
      </c>
      <c r="G14" s="7" t="s">
        <v>20</v>
      </c>
      <c r="I14" s="7" t="s">
        <v>67</v>
      </c>
      <c r="J14" s="7">
        <v>600.0</v>
      </c>
      <c r="K14" s="7" t="s">
        <v>68</v>
      </c>
      <c r="L14" s="10">
        <v>45715.0</v>
      </c>
      <c r="M14" s="7">
        <v>1263.0</v>
      </c>
      <c r="N14" s="7" t="s">
        <v>58</v>
      </c>
    </row>
    <row r="15">
      <c r="A15" s="7">
        <v>113.0</v>
      </c>
      <c r="B15" s="7" t="s">
        <v>21</v>
      </c>
      <c r="C15" s="7">
        <v>600.0</v>
      </c>
      <c r="D15" s="7">
        <v>4.0</v>
      </c>
      <c r="G15" s="7" t="s">
        <v>8</v>
      </c>
      <c r="I15" s="7">
        <v>450.0</v>
      </c>
      <c r="J15" s="7">
        <v>450.0</v>
      </c>
      <c r="L15" s="10">
        <v>45688.0</v>
      </c>
      <c r="M15" s="7">
        <v>1223.0</v>
      </c>
      <c r="N15" s="7" t="s">
        <v>69</v>
      </c>
    </row>
    <row r="16">
      <c r="A16" s="7">
        <v>114.0</v>
      </c>
      <c r="B16" s="7" t="s">
        <v>70</v>
      </c>
      <c r="C16" s="7">
        <v>600.0</v>
      </c>
      <c r="D16" s="7">
        <v>4.0</v>
      </c>
      <c r="G16" s="7" t="s">
        <v>8</v>
      </c>
      <c r="I16" s="7">
        <v>600.0</v>
      </c>
      <c r="J16" s="7">
        <v>600.0</v>
      </c>
      <c r="L16" s="10">
        <v>45681.0</v>
      </c>
      <c r="M16" s="7">
        <v>1212.0</v>
      </c>
      <c r="N16" s="7" t="s">
        <v>69</v>
      </c>
    </row>
    <row r="17">
      <c r="A17" s="7">
        <v>215.0</v>
      </c>
      <c r="B17" s="7" t="s">
        <v>71</v>
      </c>
      <c r="C17" s="7">
        <v>640.0</v>
      </c>
      <c r="D17" s="7">
        <v>4.0</v>
      </c>
      <c r="G17" s="7" t="s">
        <v>8</v>
      </c>
      <c r="I17" s="7">
        <v>640.0</v>
      </c>
      <c r="J17" s="7">
        <v>620.0</v>
      </c>
      <c r="L17" s="7" t="s">
        <v>72</v>
      </c>
      <c r="M17" s="7" t="s">
        <v>73</v>
      </c>
    </row>
    <row r="18">
      <c r="A18" s="7">
        <v>216.0</v>
      </c>
      <c r="B18" s="7" t="s">
        <v>22</v>
      </c>
      <c r="C18" s="7">
        <v>640.0</v>
      </c>
      <c r="D18" s="7">
        <v>4.0</v>
      </c>
      <c r="G18" s="7" t="s">
        <v>8</v>
      </c>
      <c r="I18" s="7">
        <v>600.0</v>
      </c>
      <c r="J18" s="7">
        <v>600.0</v>
      </c>
      <c r="K18" s="7" t="s">
        <v>74</v>
      </c>
      <c r="L18" s="7" t="s">
        <v>115</v>
      </c>
      <c r="M18" s="7" t="s">
        <v>76</v>
      </c>
      <c r="N18" s="7" t="s">
        <v>58</v>
      </c>
    </row>
    <row r="19">
      <c r="A19" s="7">
        <v>217.0</v>
      </c>
      <c r="B19" s="7" t="s">
        <v>116</v>
      </c>
      <c r="C19" s="7">
        <v>640.0</v>
      </c>
      <c r="D19" s="7">
        <v>4.0</v>
      </c>
      <c r="G19" s="7" t="s">
        <v>8</v>
      </c>
      <c r="I19" s="7">
        <v>320.0</v>
      </c>
      <c r="J19" s="7">
        <v>320.0</v>
      </c>
      <c r="K19" s="7">
        <v>0.0</v>
      </c>
      <c r="L19" s="10">
        <v>45701.0</v>
      </c>
      <c r="M19" s="7"/>
      <c r="N19" s="7" t="s">
        <v>69</v>
      </c>
    </row>
    <row r="20">
      <c r="A20" s="7">
        <v>218.0</v>
      </c>
      <c r="B20" s="7" t="s">
        <v>77</v>
      </c>
      <c r="C20" s="7">
        <v>640.0</v>
      </c>
      <c r="D20" s="7">
        <v>4.0</v>
      </c>
      <c r="G20" s="7" t="s">
        <v>8</v>
      </c>
      <c r="I20" s="7">
        <v>640.0</v>
      </c>
      <c r="J20" s="7">
        <v>630.0</v>
      </c>
      <c r="L20" s="7" t="s">
        <v>78</v>
      </c>
      <c r="M20" s="7" t="s">
        <v>79</v>
      </c>
      <c r="N20" s="7" t="s">
        <v>80</v>
      </c>
      <c r="O20" s="7" t="s">
        <v>81</v>
      </c>
    </row>
    <row r="21">
      <c r="A21" s="7">
        <v>219.0</v>
      </c>
      <c r="B21" s="7" t="s">
        <v>82</v>
      </c>
      <c r="C21" s="7">
        <v>640.0</v>
      </c>
      <c r="D21" s="7">
        <v>4.0</v>
      </c>
      <c r="G21" s="7" t="s">
        <v>8</v>
      </c>
      <c r="I21" s="7">
        <v>640.0</v>
      </c>
      <c r="J21" s="7">
        <v>640.0</v>
      </c>
      <c r="L21" s="7" t="s">
        <v>83</v>
      </c>
      <c r="M21" s="7" t="s">
        <v>84</v>
      </c>
      <c r="N21" s="7" t="s">
        <v>80</v>
      </c>
    </row>
    <row r="22">
      <c r="A22" s="7">
        <v>220.0</v>
      </c>
      <c r="B22" s="7" t="s">
        <v>27</v>
      </c>
      <c r="C22" s="7">
        <v>640.0</v>
      </c>
      <c r="D22" s="7">
        <v>4.0</v>
      </c>
      <c r="G22" s="7" t="s">
        <v>8</v>
      </c>
      <c r="I22" s="7">
        <v>640.0</v>
      </c>
      <c r="J22" s="7">
        <v>640.0</v>
      </c>
      <c r="K22" s="7" t="s">
        <v>85</v>
      </c>
      <c r="L22" s="7" t="s">
        <v>86</v>
      </c>
      <c r="M22" s="7" t="s">
        <v>87</v>
      </c>
      <c r="N22" s="7" t="s">
        <v>58</v>
      </c>
    </row>
    <row r="23">
      <c r="A23" s="7">
        <v>221.0</v>
      </c>
      <c r="B23" s="7" t="s">
        <v>88</v>
      </c>
      <c r="C23" s="7">
        <v>640.0</v>
      </c>
      <c r="D23" s="7">
        <v>4.0</v>
      </c>
      <c r="G23" s="7" t="s">
        <v>8</v>
      </c>
      <c r="I23" s="7">
        <v>640.0</v>
      </c>
      <c r="J23" s="7">
        <v>640.0</v>
      </c>
      <c r="K23" s="7" t="s">
        <v>89</v>
      </c>
      <c r="L23" s="7" t="s">
        <v>90</v>
      </c>
      <c r="M23" s="7" t="s">
        <v>91</v>
      </c>
      <c r="N23" s="7" t="s">
        <v>80</v>
      </c>
    </row>
    <row r="24">
      <c r="A24" s="7">
        <v>222.0</v>
      </c>
      <c r="B24" s="7" t="s">
        <v>92</v>
      </c>
      <c r="C24" s="7">
        <v>640.0</v>
      </c>
      <c r="D24" s="7">
        <v>4.0</v>
      </c>
      <c r="E24" s="7">
        <v>0.0</v>
      </c>
      <c r="G24" s="7" t="s">
        <v>8</v>
      </c>
      <c r="I24" s="7">
        <v>640.0</v>
      </c>
      <c r="J24" s="7">
        <v>640.0</v>
      </c>
      <c r="K24" s="7">
        <v>0.0</v>
      </c>
      <c r="L24" s="7" t="s">
        <v>117</v>
      </c>
      <c r="M24" s="7" t="s">
        <v>118</v>
      </c>
      <c r="N24" s="7" t="s">
        <v>119</v>
      </c>
    </row>
    <row r="25">
      <c r="A25" s="7">
        <v>223.0</v>
      </c>
      <c r="C25" s="7">
        <v>640.0</v>
      </c>
      <c r="G25" s="7" t="s">
        <v>11</v>
      </c>
    </row>
    <row r="26">
      <c r="A26" s="7">
        <v>224.0</v>
      </c>
      <c r="C26" s="7">
        <v>640.0</v>
      </c>
      <c r="G26" s="7" t="s">
        <v>11</v>
      </c>
    </row>
    <row r="27">
      <c r="A27" s="7">
        <v>225.0</v>
      </c>
      <c r="B27" s="7" t="s">
        <v>93</v>
      </c>
      <c r="C27" s="7">
        <v>600.0</v>
      </c>
      <c r="D27" s="7">
        <v>4.0</v>
      </c>
      <c r="G27" s="7" t="s">
        <v>8</v>
      </c>
      <c r="I27" s="7">
        <v>600.0</v>
      </c>
      <c r="J27" s="7">
        <v>600.0</v>
      </c>
      <c r="K27" s="7" t="s">
        <v>74</v>
      </c>
      <c r="L27" s="7" t="s">
        <v>94</v>
      </c>
      <c r="M27" s="7" t="s">
        <v>95</v>
      </c>
      <c r="N27" s="7" t="s">
        <v>80</v>
      </c>
    </row>
    <row r="28">
      <c r="A28" s="7">
        <v>226.0</v>
      </c>
      <c r="B28" s="7" t="s">
        <v>96</v>
      </c>
      <c r="C28" s="7">
        <v>600.0</v>
      </c>
      <c r="D28" s="7">
        <v>4.0</v>
      </c>
      <c r="G28" s="7" t="s">
        <v>8</v>
      </c>
      <c r="I28" s="7">
        <v>600.0</v>
      </c>
      <c r="J28" s="7">
        <v>600.0</v>
      </c>
      <c r="K28" s="7" t="s">
        <v>98</v>
      </c>
      <c r="L28" s="10">
        <v>45713.0</v>
      </c>
      <c r="M28" s="7" t="s">
        <v>99</v>
      </c>
      <c r="N28" s="7" t="s">
        <v>100</v>
      </c>
    </row>
    <row r="29">
      <c r="A29" s="7">
        <v>227.0</v>
      </c>
      <c r="B29" s="7" t="s">
        <v>101</v>
      </c>
      <c r="C29" s="7">
        <v>600.0</v>
      </c>
      <c r="D29" s="7">
        <v>4.0</v>
      </c>
      <c r="G29" s="7" t="s">
        <v>8</v>
      </c>
      <c r="I29" s="7">
        <v>220.0</v>
      </c>
      <c r="J29" s="7">
        <v>220.0</v>
      </c>
      <c r="K29" s="7">
        <v>0.0</v>
      </c>
      <c r="L29" s="10">
        <v>45713.0</v>
      </c>
      <c r="M29" s="7">
        <v>1262.0</v>
      </c>
      <c r="N29" s="7" t="s">
        <v>58</v>
      </c>
    </row>
    <row r="30">
      <c r="A30" s="7">
        <v>228.0</v>
      </c>
      <c r="B30" s="7" t="s">
        <v>29</v>
      </c>
      <c r="C30" s="7">
        <v>600.0</v>
      </c>
      <c r="D30" s="7">
        <v>4.0</v>
      </c>
      <c r="G30" s="7" t="s">
        <v>8</v>
      </c>
      <c r="I30" s="7">
        <v>600.0</v>
      </c>
      <c r="J30" s="7">
        <v>600.0</v>
      </c>
      <c r="K30" s="7" t="s">
        <v>102</v>
      </c>
      <c r="L30" s="7" t="s">
        <v>103</v>
      </c>
      <c r="M30" s="7" t="s">
        <v>104</v>
      </c>
      <c r="N30" s="7" t="s">
        <v>58</v>
      </c>
    </row>
    <row r="31">
      <c r="A31" s="7">
        <v>229.0</v>
      </c>
      <c r="B31" s="7" t="s">
        <v>105</v>
      </c>
      <c r="C31" s="7">
        <v>600.0</v>
      </c>
      <c r="D31" s="7">
        <v>4.0</v>
      </c>
      <c r="G31" s="7" t="s">
        <v>8</v>
      </c>
      <c r="I31" s="7">
        <v>600.0</v>
      </c>
      <c r="J31" s="7">
        <v>600.0</v>
      </c>
      <c r="L31" s="7" t="s">
        <v>103</v>
      </c>
      <c r="M31" s="7" t="s">
        <v>106</v>
      </c>
      <c r="N31" s="7" t="s">
        <v>58</v>
      </c>
    </row>
    <row r="32">
      <c r="A32" s="7">
        <v>230.0</v>
      </c>
      <c r="B32" s="7" t="s">
        <v>107</v>
      </c>
      <c r="C32" s="7">
        <v>600.0</v>
      </c>
      <c r="D32" s="7">
        <v>3.0</v>
      </c>
      <c r="G32" s="7" t="s">
        <v>8</v>
      </c>
      <c r="I32" s="7">
        <v>600.0</v>
      </c>
      <c r="J32" s="7">
        <v>600.0</v>
      </c>
      <c r="K32" s="7" t="s">
        <v>74</v>
      </c>
      <c r="L32" s="7" t="s">
        <v>108</v>
      </c>
      <c r="M32" s="7" t="s">
        <v>109</v>
      </c>
      <c r="N32" s="7" t="s">
        <v>69</v>
      </c>
    </row>
    <row r="34">
      <c r="J34" s="9">
        <f>SUM(J2:J32)</f>
        <v>12800</v>
      </c>
    </row>
    <row r="45">
      <c r="A45" s="7" t="s">
        <v>34</v>
      </c>
    </row>
    <row r="46">
      <c r="A46" s="7" t="s">
        <v>120</v>
      </c>
      <c r="B46" s="7" t="s">
        <v>121</v>
      </c>
    </row>
    <row r="48">
      <c r="A48" s="7" t="s">
        <v>122</v>
      </c>
      <c r="B48" s="7">
        <v>5490.0</v>
      </c>
    </row>
    <row r="49">
      <c r="A49" s="7" t="s">
        <v>123</v>
      </c>
      <c r="B49" s="7">
        <v>2000.0</v>
      </c>
      <c r="C49" s="7">
        <v>94.87</v>
      </c>
    </row>
    <row r="50">
      <c r="A50" s="7" t="s">
        <v>124</v>
      </c>
      <c r="B50" s="7">
        <v>884.4</v>
      </c>
    </row>
    <row r="51">
      <c r="A51" s="7" t="s">
        <v>125</v>
      </c>
      <c r="B51" s="7">
        <v>156.0</v>
      </c>
    </row>
    <row r="52">
      <c r="A52" s="7" t="s">
        <v>126</v>
      </c>
      <c r="B52" s="7">
        <v>364.44</v>
      </c>
    </row>
    <row r="53">
      <c r="A53" s="7" t="s">
        <v>127</v>
      </c>
      <c r="B53" s="7">
        <v>109.57</v>
      </c>
      <c r="C53" s="7">
        <v>64.65</v>
      </c>
    </row>
    <row r="54">
      <c r="A54" s="7" t="s">
        <v>128</v>
      </c>
      <c r="B54" s="7">
        <v>1535.0</v>
      </c>
    </row>
    <row r="55">
      <c r="A55" s="7" t="s">
        <v>129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6.13"/>
    <col customWidth="1" min="4" max="4" width="19.25"/>
    <col customWidth="1" min="6" max="6" width="18.63"/>
    <col customWidth="1" min="18" max="18" width="19.38"/>
    <col customWidth="1" min="19" max="19" width="17.25"/>
  </cols>
  <sheetData>
    <row r="1">
      <c r="A1" s="12" t="s">
        <v>36</v>
      </c>
      <c r="B1" s="12" t="s">
        <v>37</v>
      </c>
      <c r="C1" s="12" t="s">
        <v>2</v>
      </c>
      <c r="D1" s="12" t="s">
        <v>38</v>
      </c>
      <c r="E1" s="12" t="s">
        <v>39</v>
      </c>
      <c r="F1" s="12" t="s">
        <v>40</v>
      </c>
      <c r="G1" s="12" t="s">
        <v>3</v>
      </c>
      <c r="H1" s="13"/>
      <c r="I1" s="13"/>
      <c r="J1" s="12" t="s">
        <v>41</v>
      </c>
      <c r="K1" s="12" t="s">
        <v>42</v>
      </c>
      <c r="L1" s="12" t="s">
        <v>43</v>
      </c>
      <c r="M1" s="12" t="s">
        <v>44</v>
      </c>
      <c r="N1" s="12" t="s">
        <v>45</v>
      </c>
      <c r="O1" s="12" t="s">
        <v>46</v>
      </c>
      <c r="P1" s="12" t="s">
        <v>47</v>
      </c>
      <c r="Q1" s="13"/>
      <c r="R1" s="12"/>
      <c r="S1" s="12"/>
      <c r="T1" s="13"/>
      <c r="U1" s="13"/>
      <c r="V1" s="13"/>
      <c r="W1" s="13"/>
      <c r="X1" s="13"/>
      <c r="Y1" s="13"/>
      <c r="Z1" s="13"/>
      <c r="AA1" s="13"/>
      <c r="AB1" s="13"/>
    </row>
    <row r="2">
      <c r="A2" s="7" t="s">
        <v>130</v>
      </c>
      <c r="B2" s="7" t="s">
        <v>48</v>
      </c>
      <c r="C2" s="7">
        <v>640.0</v>
      </c>
      <c r="D2" s="7">
        <v>4.0</v>
      </c>
      <c r="G2" s="7" t="s">
        <v>8</v>
      </c>
      <c r="J2" s="7">
        <v>640.0</v>
      </c>
      <c r="K2" s="7">
        <v>640.0</v>
      </c>
      <c r="L2" s="7">
        <v>0.0</v>
      </c>
      <c r="M2" s="7" t="s">
        <v>131</v>
      </c>
      <c r="N2" s="7" t="s">
        <v>132</v>
      </c>
      <c r="O2" s="7" t="s">
        <v>133</v>
      </c>
    </row>
    <row r="3">
      <c r="A3" s="7">
        <v>101.0</v>
      </c>
      <c r="B3" s="7" t="s">
        <v>10</v>
      </c>
      <c r="C3" s="7">
        <v>640.0</v>
      </c>
      <c r="D3" s="7">
        <v>4.0</v>
      </c>
      <c r="G3" s="7" t="s">
        <v>8</v>
      </c>
      <c r="J3" s="7">
        <v>640.0</v>
      </c>
      <c r="K3" s="7">
        <v>640.0</v>
      </c>
      <c r="L3" s="7">
        <v>0.0</v>
      </c>
      <c r="M3" s="10">
        <v>45720.0</v>
      </c>
      <c r="N3" s="7">
        <v>1281.0</v>
      </c>
      <c r="O3" s="7" t="s">
        <v>58</v>
      </c>
    </row>
    <row r="4">
      <c r="A4" s="7">
        <v>102.0</v>
      </c>
      <c r="B4" s="7" t="s">
        <v>54</v>
      </c>
      <c r="C4" s="7">
        <v>640.0</v>
      </c>
      <c r="D4" s="7">
        <v>4.0</v>
      </c>
      <c r="G4" s="7" t="s">
        <v>8</v>
      </c>
      <c r="J4" s="7">
        <v>640.0</v>
      </c>
      <c r="K4" s="7">
        <v>640.0</v>
      </c>
      <c r="L4" s="7">
        <v>0.0</v>
      </c>
      <c r="M4" s="7" t="s">
        <v>134</v>
      </c>
      <c r="N4" s="7" t="s">
        <v>135</v>
      </c>
      <c r="O4" s="7" t="s">
        <v>136</v>
      </c>
    </row>
    <row r="5">
      <c r="A5" s="7">
        <v>103.0</v>
      </c>
      <c r="B5" s="7" t="s">
        <v>13</v>
      </c>
      <c r="C5" s="7">
        <v>640.0</v>
      </c>
      <c r="D5" s="7">
        <v>1.0</v>
      </c>
      <c r="G5" s="7" t="s">
        <v>8</v>
      </c>
      <c r="H5" s="7" t="s">
        <v>137</v>
      </c>
      <c r="I5" s="7"/>
      <c r="J5" s="7">
        <v>165.0</v>
      </c>
      <c r="K5" s="7">
        <v>180.0</v>
      </c>
      <c r="L5" s="7"/>
      <c r="M5" s="7" t="s">
        <v>138</v>
      </c>
      <c r="N5" s="7" t="s">
        <v>139</v>
      </c>
      <c r="O5" s="7" t="s">
        <v>140</v>
      </c>
    </row>
    <row r="6">
      <c r="A6" s="7">
        <v>104.0</v>
      </c>
      <c r="B6" s="7" t="s">
        <v>141</v>
      </c>
      <c r="C6" s="7">
        <v>640.0</v>
      </c>
      <c r="D6" s="7">
        <v>2.0</v>
      </c>
      <c r="G6" s="7" t="s">
        <v>8</v>
      </c>
      <c r="J6" s="7">
        <v>325.0</v>
      </c>
      <c r="K6" s="7">
        <v>325.0</v>
      </c>
      <c r="L6" s="7">
        <v>0.0</v>
      </c>
      <c r="M6" s="7" t="s">
        <v>142</v>
      </c>
      <c r="N6" s="7" t="s">
        <v>143</v>
      </c>
      <c r="O6" s="7" t="s">
        <v>144</v>
      </c>
      <c r="P6" s="7" t="s">
        <v>145</v>
      </c>
    </row>
    <row r="7">
      <c r="A7" s="7">
        <v>105.0</v>
      </c>
      <c r="B7" s="7" t="s">
        <v>146</v>
      </c>
      <c r="C7" s="7">
        <v>640.0</v>
      </c>
      <c r="D7" s="7">
        <v>4.0</v>
      </c>
      <c r="G7" s="7" t="s">
        <v>8</v>
      </c>
      <c r="J7" s="7">
        <v>640.0</v>
      </c>
      <c r="K7" s="7">
        <v>640.0</v>
      </c>
      <c r="L7" s="7">
        <v>0.0</v>
      </c>
      <c r="M7" s="7" t="s">
        <v>147</v>
      </c>
      <c r="N7" s="7" t="s">
        <v>148</v>
      </c>
      <c r="O7" s="7" t="s">
        <v>149</v>
      </c>
    </row>
    <row r="8">
      <c r="A8" s="7">
        <v>106.0</v>
      </c>
      <c r="C8" s="7">
        <v>640.0</v>
      </c>
      <c r="G8" s="7" t="s">
        <v>11</v>
      </c>
    </row>
    <row r="9">
      <c r="A9" s="7">
        <v>107.0</v>
      </c>
      <c r="C9" s="7">
        <v>640.0</v>
      </c>
      <c r="G9" s="7" t="s">
        <v>11</v>
      </c>
    </row>
    <row r="10">
      <c r="A10" s="7">
        <v>108.0</v>
      </c>
      <c r="C10" s="7">
        <v>640.0</v>
      </c>
      <c r="G10" s="7" t="s">
        <v>11</v>
      </c>
      <c r="M10" s="10"/>
    </row>
    <row r="11">
      <c r="A11" s="7">
        <v>109.0</v>
      </c>
      <c r="B11" s="7" t="s">
        <v>150</v>
      </c>
      <c r="C11" s="7">
        <v>600.0</v>
      </c>
      <c r="D11" s="7">
        <v>2.0</v>
      </c>
      <c r="G11" s="7" t="s">
        <v>8</v>
      </c>
      <c r="J11" s="7">
        <v>300.0</v>
      </c>
      <c r="K11" s="7">
        <v>300.0</v>
      </c>
      <c r="L11" s="7">
        <v>0.0</v>
      </c>
      <c r="M11" s="7" t="s">
        <v>151</v>
      </c>
      <c r="N11" s="7" t="s">
        <v>152</v>
      </c>
      <c r="O11" s="7" t="s">
        <v>153</v>
      </c>
    </row>
    <row r="12">
      <c r="A12" s="7">
        <v>110.0</v>
      </c>
      <c r="B12" s="7" t="s">
        <v>62</v>
      </c>
      <c r="C12" s="7">
        <v>600.0</v>
      </c>
      <c r="D12" s="7">
        <v>1.0</v>
      </c>
      <c r="G12" s="7" t="s">
        <v>8</v>
      </c>
      <c r="J12" s="7">
        <v>600.0</v>
      </c>
      <c r="K12" s="7">
        <v>600.0</v>
      </c>
      <c r="L12" s="7">
        <v>0.0</v>
      </c>
      <c r="M12" s="7" t="s">
        <v>154</v>
      </c>
      <c r="N12" s="7" t="s">
        <v>155</v>
      </c>
      <c r="O12" s="7" t="s">
        <v>156</v>
      </c>
    </row>
    <row r="13">
      <c r="A13" s="7">
        <v>111.0</v>
      </c>
      <c r="B13" s="7" t="s">
        <v>19</v>
      </c>
      <c r="C13" s="7">
        <v>600.0</v>
      </c>
      <c r="D13" s="7">
        <v>4.0</v>
      </c>
      <c r="G13" s="7" t="s">
        <v>8</v>
      </c>
      <c r="J13" s="7">
        <v>600.0</v>
      </c>
      <c r="K13" s="7">
        <v>600.0</v>
      </c>
      <c r="L13" s="7">
        <v>0.0</v>
      </c>
      <c r="M13" s="7" t="s">
        <v>157</v>
      </c>
      <c r="N13" s="7" t="s">
        <v>158</v>
      </c>
      <c r="O13" s="7" t="s">
        <v>159</v>
      </c>
    </row>
    <row r="14">
      <c r="A14" s="7">
        <v>112.0</v>
      </c>
      <c r="B14" s="7" t="s">
        <v>66</v>
      </c>
      <c r="C14" s="7">
        <v>600.0</v>
      </c>
      <c r="G14" s="7" t="s">
        <v>8</v>
      </c>
      <c r="J14" s="7">
        <v>600.0</v>
      </c>
      <c r="K14" s="7">
        <v>600.0</v>
      </c>
      <c r="L14" s="7">
        <v>0.0</v>
      </c>
      <c r="M14" s="10"/>
    </row>
    <row r="15">
      <c r="A15" s="7">
        <v>113.0</v>
      </c>
      <c r="B15" s="7" t="s">
        <v>21</v>
      </c>
      <c r="C15" s="7">
        <v>600.0</v>
      </c>
      <c r="D15" s="7">
        <v>4.0</v>
      </c>
      <c r="G15" s="7" t="s">
        <v>8</v>
      </c>
      <c r="J15" s="7">
        <v>450.0</v>
      </c>
      <c r="K15" s="7">
        <v>450.0</v>
      </c>
      <c r="L15" s="7">
        <v>0.0</v>
      </c>
      <c r="M15" s="10">
        <v>45716.0</v>
      </c>
      <c r="N15" s="7">
        <v>1274.0</v>
      </c>
      <c r="O15" s="7" t="s">
        <v>58</v>
      </c>
    </row>
    <row r="16">
      <c r="A16" s="7">
        <v>114.0</v>
      </c>
      <c r="B16" s="7" t="s">
        <v>70</v>
      </c>
      <c r="C16" s="7">
        <v>600.0</v>
      </c>
      <c r="D16" s="7">
        <v>4.0</v>
      </c>
      <c r="G16" s="7" t="s">
        <v>8</v>
      </c>
      <c r="J16" s="7">
        <v>600.0</v>
      </c>
      <c r="K16" s="7">
        <v>600.0</v>
      </c>
      <c r="L16" s="7">
        <v>0.0</v>
      </c>
      <c r="M16" s="7" t="s">
        <v>160</v>
      </c>
      <c r="N16" s="7" t="s">
        <v>161</v>
      </c>
    </row>
    <row r="17">
      <c r="A17" s="7">
        <v>215.0</v>
      </c>
      <c r="B17" s="7" t="s">
        <v>71</v>
      </c>
      <c r="C17" s="7">
        <v>600.0</v>
      </c>
      <c r="D17" s="7">
        <v>4.0</v>
      </c>
      <c r="G17" s="7" t="s">
        <v>8</v>
      </c>
      <c r="J17" s="7">
        <v>600.0</v>
      </c>
      <c r="K17" s="7">
        <v>600.0</v>
      </c>
      <c r="L17" s="7">
        <v>0.0</v>
      </c>
      <c r="M17" s="7" t="s">
        <v>162</v>
      </c>
      <c r="N17" s="7" t="s">
        <v>163</v>
      </c>
      <c r="O17" s="7" t="s">
        <v>69</v>
      </c>
    </row>
    <row r="18">
      <c r="A18" s="7">
        <v>216.0</v>
      </c>
      <c r="B18" s="7" t="s">
        <v>22</v>
      </c>
      <c r="C18" s="7">
        <v>640.0</v>
      </c>
      <c r="D18" s="7">
        <v>4.0</v>
      </c>
      <c r="G18" s="7" t="s">
        <v>8</v>
      </c>
      <c r="J18" s="7">
        <v>600.0</v>
      </c>
      <c r="K18" s="7">
        <v>600.0</v>
      </c>
      <c r="L18" s="7">
        <v>0.0</v>
      </c>
      <c r="M18" s="7" t="s">
        <v>164</v>
      </c>
      <c r="N18" s="7" t="s">
        <v>165</v>
      </c>
      <c r="O18" s="7" t="s">
        <v>166</v>
      </c>
    </row>
    <row r="19">
      <c r="A19" s="14">
        <v>217.0</v>
      </c>
      <c r="B19" s="14" t="s">
        <v>116</v>
      </c>
      <c r="C19" s="14">
        <v>640.0</v>
      </c>
      <c r="D19" s="14">
        <v>2.0</v>
      </c>
      <c r="E19" s="15"/>
      <c r="F19" s="15"/>
      <c r="G19" s="14" t="s">
        <v>8</v>
      </c>
      <c r="H19" s="15"/>
      <c r="I19" s="15"/>
      <c r="J19" s="14">
        <v>640.0</v>
      </c>
      <c r="K19" s="14">
        <v>300.0</v>
      </c>
      <c r="L19" s="14">
        <v>340.0</v>
      </c>
      <c r="M19" s="14" t="s">
        <v>167</v>
      </c>
      <c r="N19" s="14" t="s">
        <v>168</v>
      </c>
      <c r="O19" s="14" t="s">
        <v>169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>
      <c r="A20" s="7">
        <v>218.0</v>
      </c>
      <c r="B20" s="7" t="s">
        <v>77</v>
      </c>
      <c r="C20" s="7">
        <v>640.0</v>
      </c>
      <c r="D20" s="7">
        <v>4.0</v>
      </c>
      <c r="G20" s="7" t="s">
        <v>8</v>
      </c>
      <c r="J20" s="7">
        <v>640.0</v>
      </c>
      <c r="K20" s="7">
        <v>640.0</v>
      </c>
      <c r="L20" s="7">
        <v>0.0</v>
      </c>
      <c r="M20" s="7" t="s">
        <v>170</v>
      </c>
      <c r="N20" s="7" t="s">
        <v>171</v>
      </c>
      <c r="O20" s="7" t="s">
        <v>69</v>
      </c>
      <c r="P20" s="7" t="s">
        <v>81</v>
      </c>
    </row>
    <row r="21">
      <c r="A21" s="7">
        <v>219.0</v>
      </c>
      <c r="B21" s="7" t="s">
        <v>82</v>
      </c>
      <c r="C21" s="7">
        <v>640.0</v>
      </c>
      <c r="D21" s="7">
        <v>4.0</v>
      </c>
      <c r="G21" s="7" t="s">
        <v>8</v>
      </c>
      <c r="J21" s="7">
        <v>640.0</v>
      </c>
      <c r="K21" s="7">
        <v>640.0</v>
      </c>
      <c r="L21" s="7">
        <v>0.0</v>
      </c>
      <c r="M21" s="7" t="s">
        <v>172</v>
      </c>
      <c r="N21" s="7" t="s">
        <v>173</v>
      </c>
      <c r="O21" s="7" t="s">
        <v>174</v>
      </c>
    </row>
    <row r="22">
      <c r="A22" s="7">
        <v>220.0</v>
      </c>
      <c r="B22" s="7" t="s">
        <v>27</v>
      </c>
      <c r="C22" s="7">
        <v>640.0</v>
      </c>
      <c r="D22" s="7">
        <v>4.0</v>
      </c>
      <c r="G22" s="7" t="s">
        <v>8</v>
      </c>
      <c r="J22" s="7">
        <v>640.0</v>
      </c>
      <c r="K22" s="7">
        <v>480.0</v>
      </c>
      <c r="L22" s="7">
        <v>0.0</v>
      </c>
      <c r="M22" s="7" t="s">
        <v>175</v>
      </c>
      <c r="N22" s="7" t="s">
        <v>176</v>
      </c>
      <c r="O22" s="7" t="s">
        <v>177</v>
      </c>
    </row>
    <row r="23">
      <c r="A23" s="7">
        <v>221.0</v>
      </c>
      <c r="B23" s="7" t="s">
        <v>178</v>
      </c>
      <c r="C23" s="7">
        <v>640.0</v>
      </c>
      <c r="D23" s="7">
        <v>1.0</v>
      </c>
      <c r="G23" s="7" t="s">
        <v>11</v>
      </c>
      <c r="J23" s="7">
        <v>270.0</v>
      </c>
      <c r="K23" s="7">
        <v>110.0</v>
      </c>
      <c r="L23" s="7">
        <v>160.0</v>
      </c>
      <c r="M23" s="7" t="s">
        <v>179</v>
      </c>
      <c r="N23" s="7" t="s">
        <v>180</v>
      </c>
      <c r="O23" s="7" t="s">
        <v>174</v>
      </c>
    </row>
    <row r="24">
      <c r="A24" s="7">
        <v>221.0</v>
      </c>
      <c r="B24" s="7" t="s">
        <v>88</v>
      </c>
      <c r="C24" s="7">
        <v>640.0</v>
      </c>
      <c r="G24" s="7" t="s">
        <v>11</v>
      </c>
      <c r="J24" s="7">
        <v>320.0</v>
      </c>
      <c r="K24" s="7">
        <v>320.0</v>
      </c>
      <c r="L24" s="7">
        <v>0.0</v>
      </c>
    </row>
    <row r="25">
      <c r="A25" s="14">
        <v>222.0</v>
      </c>
      <c r="B25" s="14" t="s">
        <v>92</v>
      </c>
      <c r="C25" s="14">
        <v>640.0</v>
      </c>
      <c r="D25" s="14">
        <v>1.0</v>
      </c>
      <c r="E25" s="16">
        <v>105.0</v>
      </c>
      <c r="F25" s="15"/>
      <c r="G25" s="14" t="s">
        <v>8</v>
      </c>
      <c r="H25" s="15"/>
      <c r="I25" s="15"/>
      <c r="J25" s="16">
        <v>745.0</v>
      </c>
      <c r="K25" s="14">
        <v>400.0</v>
      </c>
      <c r="L25" s="16">
        <v>345.0</v>
      </c>
      <c r="M25" s="14" t="s">
        <v>181</v>
      </c>
      <c r="N25" s="14" t="s">
        <v>182</v>
      </c>
      <c r="O25" s="14" t="s">
        <v>140</v>
      </c>
      <c r="P25" s="14" t="s">
        <v>183</v>
      </c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>
      <c r="A26" s="7">
        <v>223.0</v>
      </c>
      <c r="C26" s="7">
        <v>640.0</v>
      </c>
      <c r="G26" s="7" t="s">
        <v>11</v>
      </c>
    </row>
    <row r="27">
      <c r="A27" s="7">
        <v>224.0</v>
      </c>
      <c r="C27" s="7">
        <v>640.0</v>
      </c>
      <c r="G27" s="7" t="s">
        <v>11</v>
      </c>
    </row>
    <row r="28">
      <c r="A28" s="7">
        <v>225.0</v>
      </c>
      <c r="B28" s="7" t="s">
        <v>93</v>
      </c>
      <c r="C28" s="7">
        <v>600.0</v>
      </c>
      <c r="D28" s="7">
        <v>4.0</v>
      </c>
      <c r="G28" s="7" t="s">
        <v>8</v>
      </c>
      <c r="J28" s="7">
        <v>600.0</v>
      </c>
      <c r="K28" s="7">
        <v>600.0</v>
      </c>
      <c r="L28" s="7">
        <v>0.0</v>
      </c>
      <c r="M28" s="7" t="s">
        <v>184</v>
      </c>
      <c r="N28" s="7" t="s">
        <v>185</v>
      </c>
      <c r="O28" s="7" t="s">
        <v>186</v>
      </c>
    </row>
    <row r="29">
      <c r="A29" s="7">
        <v>226.0</v>
      </c>
      <c r="B29" s="7" t="s">
        <v>96</v>
      </c>
      <c r="C29" s="7">
        <v>600.0</v>
      </c>
      <c r="D29" s="7">
        <v>4.0</v>
      </c>
      <c r="G29" s="7" t="s">
        <v>8</v>
      </c>
      <c r="J29" s="7">
        <v>500.0</v>
      </c>
      <c r="K29" s="7">
        <v>500.0</v>
      </c>
      <c r="L29" s="7">
        <v>0.0</v>
      </c>
      <c r="M29" s="10">
        <v>45716.0</v>
      </c>
      <c r="N29" s="7">
        <v>1267.0</v>
      </c>
      <c r="O29" s="7" t="s">
        <v>187</v>
      </c>
      <c r="Q29" s="7" t="s">
        <v>188</v>
      </c>
    </row>
    <row r="30">
      <c r="A30" s="7">
        <v>227.0</v>
      </c>
      <c r="B30" s="7" t="s">
        <v>101</v>
      </c>
      <c r="C30" s="7">
        <v>600.0</v>
      </c>
      <c r="D30" s="7">
        <v>4.0</v>
      </c>
      <c r="G30" s="7" t="s">
        <v>8</v>
      </c>
      <c r="J30" s="7">
        <v>600.0</v>
      </c>
      <c r="K30" s="7">
        <v>600.0</v>
      </c>
      <c r="L30" s="7">
        <v>0.0</v>
      </c>
      <c r="M30" s="10">
        <v>45716.0</v>
      </c>
      <c r="N30" s="7">
        <v>1268.0</v>
      </c>
      <c r="O30" s="7" t="s">
        <v>58</v>
      </c>
    </row>
    <row r="31">
      <c r="A31" s="7">
        <v>228.0</v>
      </c>
      <c r="B31" s="7" t="s">
        <v>29</v>
      </c>
      <c r="C31" s="7">
        <v>600.0</v>
      </c>
      <c r="D31" s="7">
        <v>4.0</v>
      </c>
      <c r="G31" s="7" t="s">
        <v>8</v>
      </c>
      <c r="J31" s="7">
        <v>600.0</v>
      </c>
      <c r="K31" s="7">
        <v>600.0</v>
      </c>
      <c r="L31" s="7">
        <v>0.0</v>
      </c>
      <c r="M31" s="7" t="s">
        <v>189</v>
      </c>
      <c r="N31" s="7" t="s">
        <v>190</v>
      </c>
      <c r="O31" s="7" t="s">
        <v>191</v>
      </c>
    </row>
    <row r="32">
      <c r="A32" s="7">
        <v>229.0</v>
      </c>
      <c r="B32" s="7" t="s">
        <v>105</v>
      </c>
      <c r="C32" s="7">
        <v>600.0</v>
      </c>
      <c r="D32" s="7">
        <v>4.0</v>
      </c>
      <c r="G32" s="7" t="s">
        <v>8</v>
      </c>
      <c r="J32" s="7">
        <v>600.0</v>
      </c>
      <c r="K32" s="7">
        <v>600.0</v>
      </c>
      <c r="L32" s="7">
        <v>0.0</v>
      </c>
      <c r="M32" s="7" t="s">
        <v>192</v>
      </c>
      <c r="N32" s="7" t="s">
        <v>193</v>
      </c>
      <c r="O32" s="7" t="s">
        <v>58</v>
      </c>
    </row>
    <row r="33">
      <c r="A33" s="7">
        <v>230.0</v>
      </c>
      <c r="B33" s="7" t="s">
        <v>107</v>
      </c>
      <c r="C33" s="7">
        <v>600.0</v>
      </c>
      <c r="D33" s="7">
        <v>4.0</v>
      </c>
      <c r="G33" s="7" t="s">
        <v>8</v>
      </c>
      <c r="J33" s="7">
        <v>600.0</v>
      </c>
      <c r="K33" s="7">
        <v>600.0</v>
      </c>
      <c r="L33" s="7">
        <v>0.0</v>
      </c>
      <c r="M33" s="7" t="s">
        <v>194</v>
      </c>
      <c r="N33" s="7" t="s">
        <v>195</v>
      </c>
      <c r="O33" s="7" t="s">
        <v>196</v>
      </c>
    </row>
    <row r="35">
      <c r="A35" s="12" t="s">
        <v>197</v>
      </c>
      <c r="B35" s="17"/>
      <c r="C35" s="17">
        <f>SUM(C2:C33)</f>
        <v>19960</v>
      </c>
      <c r="D35" s="17"/>
      <c r="E35" s="17"/>
      <c r="F35" s="17"/>
      <c r="G35" s="17">
        <f t="array" ref="G35">COUNTIF(G2:G33,"y")</f>
        <v>25</v>
      </c>
      <c r="H35" s="17"/>
      <c r="I35" s="17"/>
      <c r="J35" s="17">
        <f t="shared" ref="J35:L35" si="1">SUM(J2:J33)</f>
        <v>14795</v>
      </c>
      <c r="K35" s="17">
        <f t="shared" si="1"/>
        <v>13805</v>
      </c>
      <c r="L35" s="17">
        <f t="shared" si="1"/>
        <v>845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8">
      <c r="A38" s="18" t="s">
        <v>34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</row>
    <row r="39">
      <c r="A39" s="20" t="s">
        <v>198</v>
      </c>
      <c r="B39" s="20" t="s">
        <v>121</v>
      </c>
      <c r="C39" s="21"/>
      <c r="D39" s="20" t="s">
        <v>199</v>
      </c>
      <c r="E39" s="20">
        <v>1.0</v>
      </c>
      <c r="F39" s="20">
        <v>2.0</v>
      </c>
      <c r="G39" s="20">
        <v>3.0</v>
      </c>
      <c r="H39" s="20">
        <v>4.0</v>
      </c>
      <c r="I39" s="20"/>
      <c r="J39" s="20">
        <v>5.0</v>
      </c>
      <c r="K39" s="20">
        <v>6.0</v>
      </c>
      <c r="L39" s="20">
        <v>7.0</v>
      </c>
      <c r="M39" s="20">
        <v>8.0</v>
      </c>
      <c r="N39" s="20">
        <v>9.0</v>
      </c>
      <c r="O39" s="22" t="s">
        <v>200</v>
      </c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>
      <c r="A40" s="7" t="s">
        <v>122</v>
      </c>
      <c r="B40" s="7">
        <f>O48</f>
        <v>5584</v>
      </c>
      <c r="D40" s="7" t="s">
        <v>61</v>
      </c>
      <c r="E40" s="7">
        <v>550.0</v>
      </c>
      <c r="F40" s="7">
        <v>500.0</v>
      </c>
      <c r="G40" s="7">
        <v>500.0</v>
      </c>
      <c r="O40" s="17">
        <f t="shared" ref="O40:O46" si="2">SUM(E40:N40)</f>
        <v>1550</v>
      </c>
    </row>
    <row r="41">
      <c r="A41" s="7" t="s">
        <v>123</v>
      </c>
      <c r="B41" s="7">
        <v>0.0</v>
      </c>
      <c r="D41" s="7" t="s">
        <v>201</v>
      </c>
      <c r="E41" s="7">
        <v>320.0</v>
      </c>
      <c r="F41" s="7">
        <v>275.0</v>
      </c>
      <c r="G41" s="7">
        <v>250.0</v>
      </c>
      <c r="O41" s="17">
        <f t="shared" si="2"/>
        <v>845</v>
      </c>
    </row>
    <row r="42">
      <c r="A42" s="7" t="s">
        <v>124</v>
      </c>
      <c r="B42" s="7">
        <v>876.0</v>
      </c>
      <c r="D42" s="7" t="s">
        <v>202</v>
      </c>
      <c r="E42" s="7">
        <v>550.0</v>
      </c>
      <c r="F42" s="7">
        <v>250.0</v>
      </c>
      <c r="G42" s="7">
        <v>300.0</v>
      </c>
      <c r="O42" s="17">
        <f t="shared" si="2"/>
        <v>1100</v>
      </c>
    </row>
    <row r="43">
      <c r="A43" s="7" t="s">
        <v>125</v>
      </c>
      <c r="B43" s="7">
        <v>385.0</v>
      </c>
      <c r="D43" s="7" t="s">
        <v>203</v>
      </c>
      <c r="E43" s="7">
        <v>500.0</v>
      </c>
      <c r="F43" s="7">
        <v>100.0</v>
      </c>
      <c r="O43" s="17">
        <f t="shared" si="2"/>
        <v>600</v>
      </c>
    </row>
    <row r="44">
      <c r="A44" s="7" t="s">
        <v>126</v>
      </c>
      <c r="B44" s="7">
        <v>280.0</v>
      </c>
      <c r="D44" s="7" t="s">
        <v>204</v>
      </c>
      <c r="E44" s="7">
        <v>200.0</v>
      </c>
      <c r="F44" s="7">
        <v>55.0</v>
      </c>
      <c r="G44" s="7">
        <v>100.0</v>
      </c>
      <c r="H44" s="7">
        <v>360.0</v>
      </c>
      <c r="I44" s="7"/>
      <c r="J44" s="7">
        <v>520.0</v>
      </c>
      <c r="O44" s="17">
        <f t="shared" si="2"/>
        <v>1235</v>
      </c>
    </row>
    <row r="45">
      <c r="A45" s="7" t="s">
        <v>128</v>
      </c>
      <c r="B45" s="7">
        <v>1000.0</v>
      </c>
      <c r="D45" s="7" t="s">
        <v>205</v>
      </c>
      <c r="E45" s="7">
        <v>20.0</v>
      </c>
      <c r="F45" s="7">
        <v>9.0</v>
      </c>
      <c r="G45" s="7">
        <v>750.0</v>
      </c>
      <c r="H45" s="7">
        <v>100.0</v>
      </c>
      <c r="I45" s="7"/>
      <c r="J45" s="7">
        <v>-520.0</v>
      </c>
      <c r="K45" s="7">
        <v>-25.0</v>
      </c>
      <c r="L45" s="7">
        <v>-100.0</v>
      </c>
      <c r="O45" s="17">
        <f t="shared" si="2"/>
        <v>234</v>
      </c>
    </row>
    <row r="46">
      <c r="A46" s="7" t="s">
        <v>129</v>
      </c>
      <c r="B46" s="7">
        <v>1000.0</v>
      </c>
      <c r="D46" s="7" t="s">
        <v>206</v>
      </c>
      <c r="E46" s="7">
        <v>20.0</v>
      </c>
      <c r="O46" s="17">
        <f t="shared" si="2"/>
        <v>20</v>
      </c>
    </row>
    <row r="47">
      <c r="A47" s="7" t="s">
        <v>207</v>
      </c>
      <c r="O47" s="17"/>
    </row>
    <row r="48">
      <c r="A48" s="7" t="s">
        <v>208</v>
      </c>
      <c r="B48" s="9">
        <f>E79</f>
        <v>26326.07</v>
      </c>
      <c r="O48" s="17">
        <f>SUM(O40:O46)</f>
        <v>5584</v>
      </c>
    </row>
    <row r="50">
      <c r="A50" s="7" t="s">
        <v>200</v>
      </c>
      <c r="B50" s="9">
        <f>SUM(B40:B48)</f>
        <v>35451.07</v>
      </c>
    </row>
    <row r="51">
      <c r="A51" s="17"/>
      <c r="B51" s="17"/>
      <c r="C51" s="17"/>
      <c r="D51" s="22" t="s">
        <v>209</v>
      </c>
      <c r="E51" s="22" t="s">
        <v>121</v>
      </c>
      <c r="F51" s="22" t="s">
        <v>210</v>
      </c>
      <c r="G51" s="22" t="s">
        <v>211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>
      <c r="E52" s="7">
        <v>93.44</v>
      </c>
      <c r="F52" s="7" t="s">
        <v>212</v>
      </c>
      <c r="G52" s="7" t="s">
        <v>213</v>
      </c>
    </row>
    <row r="53">
      <c r="A53" s="7" t="s">
        <v>214</v>
      </c>
      <c r="B53" s="9">
        <f>K35</f>
        <v>13805</v>
      </c>
      <c r="E53" s="7">
        <v>200.0</v>
      </c>
      <c r="F53" s="7" t="s">
        <v>215</v>
      </c>
      <c r="G53" s="7" t="s">
        <v>216</v>
      </c>
    </row>
    <row r="54">
      <c r="A54" s="7" t="s">
        <v>217</v>
      </c>
      <c r="B54" s="9">
        <f>B50</f>
        <v>35451.07</v>
      </c>
      <c r="E54" s="7">
        <v>412.16</v>
      </c>
      <c r="F54" s="7" t="s">
        <v>218</v>
      </c>
      <c r="G54" s="7" t="s">
        <v>219</v>
      </c>
    </row>
    <row r="55">
      <c r="E55" s="7">
        <v>31.62</v>
      </c>
      <c r="F55" s="7" t="s">
        <v>220</v>
      </c>
      <c r="G55" s="7" t="s">
        <v>125</v>
      </c>
    </row>
    <row r="56">
      <c r="A56" s="7" t="s">
        <v>221</v>
      </c>
      <c r="B56" s="9">
        <f>B53-B54</f>
        <v>-21646.07</v>
      </c>
      <c r="E56" s="7">
        <v>41.16</v>
      </c>
      <c r="F56" s="7" t="s">
        <v>222</v>
      </c>
      <c r="G56" s="7" t="s">
        <v>125</v>
      </c>
    </row>
    <row r="57">
      <c r="E57" s="7">
        <v>38.36</v>
      </c>
      <c r="F57" s="7" t="s">
        <v>223</v>
      </c>
      <c r="G57" s="7" t="s">
        <v>125</v>
      </c>
    </row>
    <row r="58">
      <c r="E58" s="7">
        <v>353.36</v>
      </c>
      <c r="F58" s="7" t="s">
        <v>224</v>
      </c>
      <c r="G58" s="7" t="s">
        <v>225</v>
      </c>
    </row>
    <row r="59">
      <c r="E59" s="7">
        <v>32.0</v>
      </c>
      <c r="F59" s="7" t="s">
        <v>226</v>
      </c>
      <c r="G59" s="7" t="s">
        <v>227</v>
      </c>
    </row>
    <row r="60">
      <c r="E60" s="7">
        <v>334.27</v>
      </c>
      <c r="F60" s="7" t="s">
        <v>212</v>
      </c>
      <c r="G60" s="7" t="s">
        <v>213</v>
      </c>
    </row>
    <row r="61">
      <c r="E61" s="7">
        <v>1000.0</v>
      </c>
      <c r="F61" s="7" t="s">
        <v>228</v>
      </c>
      <c r="G61" s="7" t="s">
        <v>227</v>
      </c>
    </row>
    <row r="62">
      <c r="E62" s="7">
        <v>49.38</v>
      </c>
      <c r="F62" s="7" t="s">
        <v>229</v>
      </c>
      <c r="G62" s="7" t="s">
        <v>125</v>
      </c>
    </row>
    <row r="63">
      <c r="E63" s="7">
        <v>72.5</v>
      </c>
      <c r="F63" s="7" t="s">
        <v>230</v>
      </c>
      <c r="G63" s="7" t="s">
        <v>231</v>
      </c>
    </row>
    <row r="64">
      <c r="E64" s="7">
        <v>11.85</v>
      </c>
      <c r="F64" s="7" t="s">
        <v>232</v>
      </c>
      <c r="G64" s="7" t="s">
        <v>233</v>
      </c>
    </row>
    <row r="65">
      <c r="E65" s="7">
        <v>3000.0</v>
      </c>
      <c r="F65" s="7" t="s">
        <v>234</v>
      </c>
      <c r="G65" s="7" t="s">
        <v>235</v>
      </c>
    </row>
    <row r="66">
      <c r="E66" s="7">
        <v>120.0</v>
      </c>
      <c r="F66" s="7" t="s">
        <v>236</v>
      </c>
      <c r="G66" s="7" t="s">
        <v>127</v>
      </c>
    </row>
    <row r="67">
      <c r="E67" s="7">
        <v>11.11</v>
      </c>
      <c r="F67" s="7" t="s">
        <v>237</v>
      </c>
      <c r="G67" s="7" t="s">
        <v>231</v>
      </c>
    </row>
    <row r="68">
      <c r="E68" s="7">
        <v>35.71</v>
      </c>
      <c r="F68" s="7" t="s">
        <v>238</v>
      </c>
      <c r="G68" s="7" t="s">
        <v>239</v>
      </c>
    </row>
    <row r="69">
      <c r="E69" s="7">
        <v>54.09</v>
      </c>
      <c r="F69" s="7" t="s">
        <v>240</v>
      </c>
      <c r="G69" s="7" t="s">
        <v>231</v>
      </c>
    </row>
    <row r="70">
      <c r="E70" s="7">
        <v>3000.0</v>
      </c>
      <c r="F70" s="7" t="s">
        <v>234</v>
      </c>
      <c r="G70" s="7" t="s">
        <v>235</v>
      </c>
    </row>
    <row r="71">
      <c r="E71" s="7">
        <v>9.96</v>
      </c>
      <c r="F71" s="7" t="s">
        <v>241</v>
      </c>
      <c r="G71" s="7" t="s">
        <v>213</v>
      </c>
    </row>
    <row r="72">
      <c r="E72" s="7">
        <v>30.0</v>
      </c>
      <c r="F72" s="7" t="s">
        <v>234</v>
      </c>
      <c r="G72" s="7" t="s">
        <v>242</v>
      </c>
    </row>
    <row r="73">
      <c r="E73" s="7">
        <v>21.64</v>
      </c>
      <c r="F73" s="7" t="s">
        <v>237</v>
      </c>
      <c r="G73" s="7" t="s">
        <v>231</v>
      </c>
    </row>
    <row r="74">
      <c r="E74" s="7">
        <v>373.46</v>
      </c>
      <c r="F74" s="7" t="s">
        <v>243</v>
      </c>
      <c r="G74" s="7" t="s">
        <v>127</v>
      </c>
    </row>
    <row r="75">
      <c r="E75" s="7">
        <v>17000.0</v>
      </c>
      <c r="F75" s="7" t="s">
        <v>244</v>
      </c>
      <c r="G75" s="7" t="s">
        <v>235</v>
      </c>
    </row>
    <row r="77">
      <c r="D77" s="7"/>
    </row>
    <row r="78">
      <c r="D78" s="7"/>
    </row>
    <row r="79">
      <c r="D79" s="7" t="s">
        <v>200</v>
      </c>
      <c r="E79" s="9">
        <f>SUM(E52:E75)</f>
        <v>26326.07</v>
      </c>
    </row>
  </sheetData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25"/>
    <col customWidth="1" min="2" max="2" width="26.13"/>
    <col customWidth="1" min="4" max="4" width="19.25"/>
    <col customWidth="1" min="6" max="6" width="18.63"/>
    <col customWidth="1" min="7" max="7" width="15.75"/>
    <col customWidth="1" min="8" max="8" width="19.0"/>
    <col customWidth="1" min="9" max="9" width="18.88"/>
    <col customWidth="1" min="12" max="12" width="17.75"/>
    <col customWidth="1" min="13" max="13" width="14.75"/>
    <col customWidth="1" min="14" max="14" width="15.5"/>
    <col customWidth="1" min="15" max="15" width="16.75"/>
    <col customWidth="1" min="18" max="18" width="19.38"/>
    <col customWidth="1" min="19" max="19" width="17.25"/>
  </cols>
  <sheetData>
    <row r="1" ht="22.5" customHeight="1">
      <c r="A1" s="23" t="s">
        <v>36</v>
      </c>
      <c r="B1" s="23" t="s">
        <v>37</v>
      </c>
      <c r="C1" s="23" t="s">
        <v>2</v>
      </c>
      <c r="D1" s="23" t="s">
        <v>38</v>
      </c>
      <c r="E1" s="23" t="s">
        <v>39</v>
      </c>
      <c r="F1" s="23" t="s">
        <v>40</v>
      </c>
      <c r="G1" s="23" t="s">
        <v>3</v>
      </c>
      <c r="H1" s="24" t="s">
        <v>245</v>
      </c>
      <c r="I1" s="23" t="s">
        <v>246</v>
      </c>
      <c r="J1" s="23" t="s">
        <v>41</v>
      </c>
      <c r="K1" s="23" t="s">
        <v>42</v>
      </c>
      <c r="L1" s="23" t="s">
        <v>43</v>
      </c>
      <c r="M1" s="23" t="s">
        <v>44</v>
      </c>
      <c r="N1" s="23" t="s">
        <v>45</v>
      </c>
      <c r="O1" s="23" t="s">
        <v>46</v>
      </c>
      <c r="P1" s="23" t="s">
        <v>47</v>
      </c>
      <c r="Q1" s="12" t="s">
        <v>247</v>
      </c>
      <c r="R1" s="12" t="s">
        <v>248</v>
      </c>
      <c r="S1" s="12"/>
      <c r="T1" s="13"/>
      <c r="U1" s="13"/>
      <c r="V1" s="13"/>
      <c r="W1" s="13"/>
      <c r="X1" s="13"/>
      <c r="Y1" s="13"/>
      <c r="Z1" s="13"/>
      <c r="AA1" s="13"/>
      <c r="AB1" s="13"/>
    </row>
    <row r="2" ht="22.5" customHeight="1">
      <c r="A2" s="4">
        <v>100.0</v>
      </c>
      <c r="B2" s="4" t="s">
        <v>48</v>
      </c>
      <c r="C2" s="4">
        <v>640.0</v>
      </c>
      <c r="D2" s="2">
        <v>4.0</v>
      </c>
      <c r="G2" s="3" t="s">
        <v>8</v>
      </c>
      <c r="I2" s="3" t="s">
        <v>249</v>
      </c>
      <c r="J2" s="4">
        <v>640.0</v>
      </c>
      <c r="K2" s="2">
        <v>640.0</v>
      </c>
      <c r="L2" s="25">
        <v>0.0</v>
      </c>
      <c r="M2" s="4" t="s">
        <v>250</v>
      </c>
      <c r="N2" s="4" t="s">
        <v>251</v>
      </c>
      <c r="O2" s="4" t="s">
        <v>252</v>
      </c>
    </row>
    <row r="3" ht="22.5" customHeight="1">
      <c r="A3" s="4">
        <v>101.0</v>
      </c>
      <c r="B3" s="4" t="s">
        <v>10</v>
      </c>
      <c r="C3" s="4">
        <v>640.0</v>
      </c>
      <c r="D3" s="4">
        <v>1.0</v>
      </c>
      <c r="G3" s="3" t="s">
        <v>8</v>
      </c>
      <c r="I3" s="3" t="s">
        <v>253</v>
      </c>
      <c r="J3" s="4">
        <v>640.0</v>
      </c>
      <c r="K3" s="4">
        <v>640.0</v>
      </c>
      <c r="L3" s="4">
        <v>0.0</v>
      </c>
      <c r="M3" s="26">
        <v>45748.0</v>
      </c>
      <c r="N3" s="4">
        <v>1335.0</v>
      </c>
      <c r="O3" s="4" t="s">
        <v>119</v>
      </c>
    </row>
    <row r="4" ht="22.5" customHeight="1">
      <c r="A4" s="4" t="s">
        <v>254</v>
      </c>
      <c r="B4" s="4"/>
      <c r="C4" s="4"/>
      <c r="D4" s="4"/>
      <c r="G4" s="3"/>
      <c r="I4" s="3"/>
      <c r="J4" s="4"/>
      <c r="K4" s="4"/>
      <c r="L4" s="4"/>
      <c r="M4" s="4"/>
      <c r="N4" s="4"/>
    </row>
    <row r="5" ht="22.5" customHeight="1">
      <c r="A5" s="4">
        <v>102.0</v>
      </c>
      <c r="B5" s="4" t="s">
        <v>54</v>
      </c>
      <c r="C5" s="4">
        <v>640.0</v>
      </c>
      <c r="D5" s="4">
        <v>1.0</v>
      </c>
      <c r="G5" s="3" t="s">
        <v>8</v>
      </c>
      <c r="I5" s="3" t="s">
        <v>249</v>
      </c>
      <c r="J5" s="4">
        <v>0.0</v>
      </c>
      <c r="K5" s="4">
        <v>320.0</v>
      </c>
      <c r="L5" s="25">
        <v>0.0</v>
      </c>
      <c r="M5" s="4" t="s">
        <v>255</v>
      </c>
      <c r="N5" s="4" t="s">
        <v>256</v>
      </c>
    </row>
    <row r="6" ht="22.5" customHeight="1">
      <c r="A6" s="4">
        <v>103.0</v>
      </c>
      <c r="B6" s="4" t="s">
        <v>13</v>
      </c>
      <c r="C6" s="4">
        <v>640.0</v>
      </c>
      <c r="D6" s="4">
        <v>2.0</v>
      </c>
      <c r="G6" s="3" t="s">
        <v>8</v>
      </c>
      <c r="H6" s="4" t="s">
        <v>137</v>
      </c>
      <c r="I6" s="3" t="s">
        <v>253</v>
      </c>
      <c r="J6" s="4">
        <v>640.0</v>
      </c>
      <c r="K6" s="4">
        <v>640.0</v>
      </c>
      <c r="L6" s="4">
        <v>0.0</v>
      </c>
      <c r="M6" s="4" t="s">
        <v>257</v>
      </c>
      <c r="N6" s="4" t="s">
        <v>258</v>
      </c>
    </row>
    <row r="7" ht="22.5" customHeight="1">
      <c r="A7" s="4">
        <v>104.0</v>
      </c>
      <c r="B7" s="4" t="s">
        <v>141</v>
      </c>
      <c r="C7" s="4">
        <v>650.0</v>
      </c>
      <c r="D7" s="4">
        <v>2.0</v>
      </c>
      <c r="G7" s="3" t="s">
        <v>8</v>
      </c>
      <c r="I7" s="3" t="s">
        <v>249</v>
      </c>
      <c r="J7" s="4">
        <v>650.0</v>
      </c>
      <c r="K7" s="4">
        <v>650.0</v>
      </c>
      <c r="L7" s="4">
        <v>0.0</v>
      </c>
      <c r="M7" s="4" t="s">
        <v>259</v>
      </c>
      <c r="N7" s="4" t="s">
        <v>260</v>
      </c>
      <c r="O7" s="4" t="s">
        <v>169</v>
      </c>
      <c r="P7" s="4" t="s">
        <v>145</v>
      </c>
    </row>
    <row r="8" ht="22.5" customHeight="1">
      <c r="A8" s="4">
        <v>105.0</v>
      </c>
      <c r="B8" s="4" t="s">
        <v>146</v>
      </c>
      <c r="C8" s="4">
        <v>640.0</v>
      </c>
      <c r="D8" s="2">
        <v>4.0</v>
      </c>
      <c r="G8" s="3" t="s">
        <v>8</v>
      </c>
      <c r="I8" s="3" t="s">
        <v>249</v>
      </c>
      <c r="J8" s="4">
        <v>640.0</v>
      </c>
      <c r="K8" s="2">
        <v>640.0</v>
      </c>
      <c r="L8" s="25">
        <v>0.0</v>
      </c>
      <c r="M8" s="4" t="s">
        <v>261</v>
      </c>
      <c r="N8" s="4" t="s">
        <v>262</v>
      </c>
      <c r="O8" s="4" t="s">
        <v>263</v>
      </c>
    </row>
    <row r="9" ht="22.5" customHeight="1">
      <c r="A9" s="4">
        <v>106.0</v>
      </c>
      <c r="C9" s="4">
        <v>640.0</v>
      </c>
      <c r="D9" s="5"/>
      <c r="G9" s="3" t="s">
        <v>11</v>
      </c>
      <c r="I9" s="6"/>
      <c r="J9" s="27"/>
      <c r="K9" s="5"/>
      <c r="L9" s="27"/>
    </row>
    <row r="10" ht="22.5" customHeight="1">
      <c r="A10" s="4">
        <v>107.0</v>
      </c>
      <c r="C10" s="4">
        <v>640.0</v>
      </c>
      <c r="D10" s="5"/>
      <c r="G10" s="3" t="s">
        <v>11</v>
      </c>
      <c r="I10" s="6"/>
      <c r="J10" s="27"/>
      <c r="K10" s="5"/>
      <c r="L10" s="27"/>
    </row>
    <row r="11" ht="22.5" customHeight="1">
      <c r="A11" s="4">
        <v>108.0</v>
      </c>
      <c r="C11" s="4">
        <v>640.0</v>
      </c>
      <c r="D11" s="5"/>
      <c r="G11" s="3" t="s">
        <v>11</v>
      </c>
      <c r="I11" s="6"/>
      <c r="J11" s="27"/>
      <c r="K11" s="4"/>
      <c r="L11" s="27"/>
      <c r="M11" s="26"/>
    </row>
    <row r="12" ht="22.5" customHeight="1">
      <c r="A12" s="4">
        <v>109.0</v>
      </c>
      <c r="B12" s="4" t="s">
        <v>150</v>
      </c>
      <c r="C12" s="4">
        <v>600.0</v>
      </c>
      <c r="D12" s="2">
        <v>4.0</v>
      </c>
      <c r="G12" s="3" t="s">
        <v>8</v>
      </c>
      <c r="I12" s="3" t="s">
        <v>249</v>
      </c>
      <c r="J12" s="4">
        <v>600.0</v>
      </c>
      <c r="K12" s="2">
        <v>600.0</v>
      </c>
      <c r="L12" s="25">
        <v>0.0</v>
      </c>
      <c r="M12" s="4" t="s">
        <v>264</v>
      </c>
      <c r="N12" s="4" t="s">
        <v>265</v>
      </c>
      <c r="O12" s="4" t="s">
        <v>263</v>
      </c>
    </row>
    <row r="13" ht="22.5" customHeight="1">
      <c r="A13" s="4">
        <v>110.0</v>
      </c>
      <c r="B13" s="4" t="s">
        <v>62</v>
      </c>
      <c r="C13" s="4">
        <v>600.0</v>
      </c>
      <c r="D13" s="5"/>
      <c r="G13" s="3" t="s">
        <v>8</v>
      </c>
      <c r="I13" s="3" t="s">
        <v>249</v>
      </c>
      <c r="J13" s="25">
        <v>600.0</v>
      </c>
      <c r="K13" s="2">
        <v>600.0</v>
      </c>
      <c r="L13" s="25">
        <v>0.0</v>
      </c>
      <c r="O13" s="4"/>
    </row>
    <row r="14" ht="22.5" customHeight="1">
      <c r="A14" s="4">
        <v>111.0</v>
      </c>
      <c r="B14" s="4" t="s">
        <v>19</v>
      </c>
      <c r="C14" s="4">
        <v>600.0</v>
      </c>
      <c r="D14" s="4">
        <v>2.0</v>
      </c>
      <c r="G14" s="3" t="s">
        <v>8</v>
      </c>
      <c r="I14" s="3" t="s">
        <v>266</v>
      </c>
      <c r="J14" s="4">
        <v>600.0</v>
      </c>
      <c r="K14" s="2">
        <v>600.0</v>
      </c>
      <c r="L14" s="25">
        <v>0.0</v>
      </c>
      <c r="M14" s="4" t="s">
        <v>267</v>
      </c>
      <c r="N14" s="4" t="s">
        <v>268</v>
      </c>
      <c r="O14" s="4" t="s">
        <v>156</v>
      </c>
    </row>
    <row r="15" ht="22.5" customHeight="1">
      <c r="A15" s="4">
        <v>112.0</v>
      </c>
      <c r="B15" s="4" t="s">
        <v>66</v>
      </c>
      <c r="C15" s="4">
        <v>600.0</v>
      </c>
      <c r="D15" s="4">
        <v>2.0</v>
      </c>
      <c r="G15" s="3" t="s">
        <v>8</v>
      </c>
      <c r="I15" s="3" t="s">
        <v>253</v>
      </c>
      <c r="J15" s="4">
        <v>600.0</v>
      </c>
      <c r="K15" s="4">
        <v>600.0</v>
      </c>
      <c r="L15" s="4">
        <v>0.0</v>
      </c>
      <c r="M15" s="4" t="s">
        <v>269</v>
      </c>
      <c r="N15" s="4" t="s">
        <v>270</v>
      </c>
      <c r="O15" s="4" t="s">
        <v>156</v>
      </c>
    </row>
    <row r="16" ht="22.5" customHeight="1">
      <c r="A16" s="4">
        <v>113.0</v>
      </c>
      <c r="B16" s="4" t="s">
        <v>21</v>
      </c>
      <c r="C16" s="4">
        <v>600.0</v>
      </c>
      <c r="D16" s="4">
        <v>1.0</v>
      </c>
      <c r="G16" s="3" t="s">
        <v>8</v>
      </c>
      <c r="I16" s="3" t="s">
        <v>253</v>
      </c>
      <c r="J16" s="4">
        <v>450.0</v>
      </c>
      <c r="K16" s="4">
        <v>450.0</v>
      </c>
      <c r="L16" s="4">
        <v>0.0</v>
      </c>
      <c r="M16" s="4" t="s">
        <v>181</v>
      </c>
      <c r="N16" s="4" t="s">
        <v>271</v>
      </c>
      <c r="O16" s="4" t="s">
        <v>69</v>
      </c>
    </row>
    <row r="17" ht="22.5" customHeight="1">
      <c r="A17" s="4">
        <v>114.0</v>
      </c>
      <c r="B17" s="4" t="s">
        <v>70</v>
      </c>
      <c r="C17" s="4">
        <v>600.0</v>
      </c>
      <c r="D17" s="4">
        <v>1.0</v>
      </c>
      <c r="G17" s="3" t="s">
        <v>8</v>
      </c>
      <c r="I17" s="3" t="s">
        <v>253</v>
      </c>
      <c r="J17" s="4">
        <v>600.0</v>
      </c>
      <c r="K17" s="4">
        <v>600.0</v>
      </c>
      <c r="L17" s="4">
        <v>0.0</v>
      </c>
      <c r="M17" s="26">
        <v>45751.0</v>
      </c>
      <c r="N17" s="4">
        <v>1344.0</v>
      </c>
      <c r="O17" s="4" t="s">
        <v>272</v>
      </c>
    </row>
    <row r="18" ht="22.5" customHeight="1">
      <c r="A18" s="4">
        <v>215.0</v>
      </c>
      <c r="B18" s="4" t="s">
        <v>71</v>
      </c>
      <c r="C18" s="4">
        <v>600.0</v>
      </c>
      <c r="D18" s="4">
        <v>2.0</v>
      </c>
      <c r="G18" s="3" t="s">
        <v>8</v>
      </c>
      <c r="H18" s="4" t="s">
        <v>273</v>
      </c>
      <c r="I18" s="3" t="s">
        <v>266</v>
      </c>
      <c r="J18" s="4">
        <v>600.0</v>
      </c>
      <c r="K18" s="4">
        <v>600.0</v>
      </c>
      <c r="L18" s="4"/>
      <c r="M18" s="4" t="s">
        <v>274</v>
      </c>
      <c r="N18" s="4" t="s">
        <v>275</v>
      </c>
      <c r="O18" s="4" t="s">
        <v>156</v>
      </c>
    </row>
    <row r="19" ht="22.5" customHeight="1">
      <c r="A19" s="4">
        <v>216.0</v>
      </c>
      <c r="B19" s="4" t="s">
        <v>22</v>
      </c>
      <c r="C19" s="4">
        <v>640.0</v>
      </c>
      <c r="D19" s="2">
        <v>4.0</v>
      </c>
      <c r="G19" s="3" t="s">
        <v>8</v>
      </c>
      <c r="I19" s="3" t="s">
        <v>249</v>
      </c>
      <c r="J19" s="4">
        <v>600.0</v>
      </c>
      <c r="K19" s="2">
        <v>600.0</v>
      </c>
      <c r="L19" s="25">
        <v>0.0</v>
      </c>
      <c r="M19" s="4" t="s">
        <v>276</v>
      </c>
      <c r="N19" s="4" t="s">
        <v>277</v>
      </c>
      <c r="O19" s="4" t="s">
        <v>278</v>
      </c>
    </row>
    <row r="20" ht="22.5" customHeight="1">
      <c r="A20" s="28">
        <v>217.0</v>
      </c>
      <c r="B20" s="28" t="s">
        <v>116</v>
      </c>
      <c r="C20" s="28">
        <v>640.0</v>
      </c>
      <c r="D20" s="28"/>
      <c r="E20" s="29"/>
      <c r="F20" s="29"/>
      <c r="G20" s="30" t="s">
        <v>8</v>
      </c>
      <c r="H20" s="29"/>
      <c r="I20" s="30" t="s">
        <v>249</v>
      </c>
      <c r="J20" s="28">
        <v>0.0</v>
      </c>
      <c r="K20" s="4">
        <v>640.0</v>
      </c>
      <c r="L20" s="28">
        <v>0.0</v>
      </c>
      <c r="M20" s="31">
        <v>45749.0</v>
      </c>
      <c r="N20" s="28">
        <v>1338.0</v>
      </c>
      <c r="O20" s="28" t="s">
        <v>279</v>
      </c>
      <c r="P20" s="29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22.5" customHeight="1">
      <c r="A21" s="4">
        <v>218.0</v>
      </c>
      <c r="B21" s="4" t="s">
        <v>77</v>
      </c>
      <c r="C21" s="4">
        <v>640.0</v>
      </c>
      <c r="D21" s="4">
        <v>1.0</v>
      </c>
      <c r="G21" s="3" t="s">
        <v>8</v>
      </c>
      <c r="I21" s="3" t="s">
        <v>253</v>
      </c>
      <c r="J21" s="4">
        <v>640.0</v>
      </c>
      <c r="K21" s="4">
        <v>640.0</v>
      </c>
      <c r="L21" s="4">
        <v>0.0</v>
      </c>
      <c r="M21" s="26">
        <v>45749.0</v>
      </c>
      <c r="N21" s="4">
        <v>1338.0</v>
      </c>
      <c r="O21" s="4" t="s">
        <v>140</v>
      </c>
      <c r="P21" s="4" t="s">
        <v>81</v>
      </c>
    </row>
    <row r="22" ht="22.5" customHeight="1">
      <c r="A22" s="4">
        <v>219.0</v>
      </c>
      <c r="B22" s="4" t="s">
        <v>82</v>
      </c>
      <c r="C22" s="4">
        <v>640.0</v>
      </c>
      <c r="D22" s="4">
        <v>4.0</v>
      </c>
      <c r="G22" s="3" t="s">
        <v>8</v>
      </c>
      <c r="I22" s="3" t="s">
        <v>266</v>
      </c>
      <c r="J22" s="4">
        <v>640.0</v>
      </c>
      <c r="K22" s="4">
        <v>640.0</v>
      </c>
      <c r="L22" s="4">
        <v>0.0</v>
      </c>
      <c r="M22" s="4" t="s">
        <v>280</v>
      </c>
      <c r="N22" s="4" t="s">
        <v>281</v>
      </c>
      <c r="O22" s="4" t="s">
        <v>252</v>
      </c>
    </row>
    <row r="23" ht="22.5" customHeight="1">
      <c r="A23" s="4" t="s">
        <v>282</v>
      </c>
      <c r="B23" s="4" t="s">
        <v>283</v>
      </c>
      <c r="C23" s="4">
        <v>650.0</v>
      </c>
      <c r="D23" s="4">
        <v>1.0</v>
      </c>
      <c r="G23" s="3"/>
      <c r="I23" s="3" t="s">
        <v>253</v>
      </c>
      <c r="J23" s="4">
        <v>650.0</v>
      </c>
      <c r="K23" s="4">
        <v>650.0</v>
      </c>
      <c r="L23" s="4">
        <v>0.0</v>
      </c>
      <c r="M23" s="26">
        <v>45758.0</v>
      </c>
      <c r="N23" s="4">
        <v>1356.0</v>
      </c>
      <c r="O23" s="4" t="s">
        <v>140</v>
      </c>
    </row>
    <row r="24" ht="22.5" customHeight="1">
      <c r="A24" s="4">
        <v>220.0</v>
      </c>
      <c r="B24" s="4" t="s">
        <v>27</v>
      </c>
      <c r="C24" s="4">
        <v>640.0</v>
      </c>
      <c r="D24" s="4">
        <v>1.0</v>
      </c>
      <c r="G24" s="3" t="s">
        <v>8</v>
      </c>
      <c r="H24" s="4" t="s">
        <v>284</v>
      </c>
      <c r="I24" s="3" t="s">
        <v>249</v>
      </c>
      <c r="J24" s="4">
        <v>640.0</v>
      </c>
      <c r="K24" s="4">
        <v>160.0</v>
      </c>
      <c r="L24" s="25">
        <v>0.0</v>
      </c>
      <c r="M24" s="4" t="s">
        <v>181</v>
      </c>
      <c r="N24" s="4" t="s">
        <v>285</v>
      </c>
      <c r="O24" s="4" t="s">
        <v>279</v>
      </c>
    </row>
    <row r="25" ht="22.5" customHeight="1">
      <c r="A25" s="4">
        <v>221.0</v>
      </c>
      <c r="B25" s="4" t="s">
        <v>25</v>
      </c>
      <c r="C25" s="4">
        <v>650.0</v>
      </c>
      <c r="D25" s="4">
        <v>1.0</v>
      </c>
      <c r="G25" s="3" t="s">
        <v>11</v>
      </c>
      <c r="I25" s="3" t="s">
        <v>249</v>
      </c>
      <c r="J25" s="4">
        <v>650.0</v>
      </c>
      <c r="K25" s="4">
        <v>650.0</v>
      </c>
      <c r="L25" s="4">
        <v>650.0</v>
      </c>
      <c r="M25" s="26">
        <v>45751.0</v>
      </c>
      <c r="N25" s="4">
        <v>1348.0</v>
      </c>
    </row>
    <row r="26" ht="22.5" customHeight="1">
      <c r="A26" s="28">
        <v>222.0</v>
      </c>
      <c r="B26" s="28" t="s">
        <v>92</v>
      </c>
      <c r="C26" s="28">
        <v>640.0</v>
      </c>
      <c r="D26" s="32"/>
      <c r="E26" s="33">
        <v>345.0</v>
      </c>
      <c r="F26" s="29"/>
      <c r="G26" s="30" t="s">
        <v>8</v>
      </c>
      <c r="H26" s="29"/>
      <c r="I26" s="30" t="s">
        <v>266</v>
      </c>
      <c r="J26" s="33">
        <v>640.0</v>
      </c>
      <c r="K26" s="5"/>
      <c r="L26" s="33">
        <v>985.0</v>
      </c>
      <c r="M26" s="29"/>
      <c r="N26" s="29"/>
      <c r="O26" s="29"/>
      <c r="P26" s="2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22.5" customHeight="1">
      <c r="A27" s="4">
        <v>223.0</v>
      </c>
      <c r="C27" s="4">
        <v>640.0</v>
      </c>
      <c r="D27" s="5"/>
      <c r="G27" s="3" t="s">
        <v>11</v>
      </c>
      <c r="I27" s="6"/>
      <c r="J27" s="27"/>
      <c r="K27" s="5"/>
      <c r="L27" s="27"/>
    </row>
    <row r="28" ht="22.5" customHeight="1">
      <c r="A28" s="4">
        <v>224.0</v>
      </c>
      <c r="C28" s="4">
        <v>640.0</v>
      </c>
      <c r="D28" s="5"/>
      <c r="G28" s="3" t="s">
        <v>11</v>
      </c>
      <c r="I28" s="3"/>
      <c r="J28" s="27"/>
      <c r="K28" s="5"/>
      <c r="L28" s="27"/>
    </row>
    <row r="29" ht="22.5" customHeight="1">
      <c r="A29" s="4">
        <v>225.0</v>
      </c>
      <c r="B29" s="4" t="s">
        <v>93</v>
      </c>
      <c r="C29" s="4">
        <v>600.0</v>
      </c>
      <c r="D29" s="2">
        <v>4.0</v>
      </c>
      <c r="G29" s="3" t="s">
        <v>8</v>
      </c>
      <c r="I29" s="3" t="s">
        <v>249</v>
      </c>
      <c r="J29" s="4">
        <v>600.0</v>
      </c>
      <c r="K29" s="34">
        <v>600.0</v>
      </c>
      <c r="L29" s="25">
        <v>0.0</v>
      </c>
      <c r="M29" s="4" t="s">
        <v>276</v>
      </c>
      <c r="N29" s="4" t="s">
        <v>286</v>
      </c>
      <c r="O29" s="4" t="s">
        <v>252</v>
      </c>
    </row>
    <row r="30" ht="22.5" customHeight="1">
      <c r="A30" s="4">
        <v>226.0</v>
      </c>
      <c r="B30" s="4" t="s">
        <v>96</v>
      </c>
      <c r="C30" s="4">
        <v>600.0</v>
      </c>
      <c r="D30" s="4">
        <v>1.0</v>
      </c>
      <c r="G30" s="3" t="s">
        <v>8</v>
      </c>
      <c r="H30" s="4" t="s">
        <v>287</v>
      </c>
      <c r="I30" s="3" t="s">
        <v>253</v>
      </c>
      <c r="J30" s="4">
        <v>500.0</v>
      </c>
      <c r="K30" s="35">
        <v>500.0</v>
      </c>
      <c r="L30" s="4">
        <v>0.0</v>
      </c>
      <c r="M30" s="4" t="s">
        <v>288</v>
      </c>
      <c r="N30" s="4" t="s">
        <v>289</v>
      </c>
      <c r="Q30" s="7" t="s">
        <v>188</v>
      </c>
    </row>
    <row r="31" ht="22.5" customHeight="1">
      <c r="A31" s="4">
        <v>227.0</v>
      </c>
      <c r="B31" s="4" t="s">
        <v>101</v>
      </c>
      <c r="C31" s="4">
        <v>600.0</v>
      </c>
      <c r="D31" s="4">
        <v>1.0</v>
      </c>
      <c r="G31" s="3" t="s">
        <v>8</v>
      </c>
      <c r="I31" s="3" t="s">
        <v>253</v>
      </c>
      <c r="J31" s="4">
        <v>600.0</v>
      </c>
      <c r="K31" s="35">
        <v>600.0</v>
      </c>
      <c r="L31" s="4">
        <v>0.0</v>
      </c>
      <c r="M31" s="26">
        <v>45751.0</v>
      </c>
      <c r="N31" s="4" t="s">
        <v>290</v>
      </c>
    </row>
    <row r="32" ht="22.5" customHeight="1">
      <c r="A32" s="4">
        <v>228.0</v>
      </c>
      <c r="B32" s="4" t="s">
        <v>29</v>
      </c>
      <c r="C32" s="4">
        <v>600.0</v>
      </c>
      <c r="D32" s="4">
        <v>4.0</v>
      </c>
      <c r="G32" s="3" t="s">
        <v>8</v>
      </c>
      <c r="I32" s="3" t="s">
        <v>266</v>
      </c>
      <c r="J32" s="4">
        <v>600.0</v>
      </c>
      <c r="K32" s="36">
        <v>600.0</v>
      </c>
      <c r="L32" s="4">
        <v>0.0</v>
      </c>
      <c r="M32" s="4" t="s">
        <v>291</v>
      </c>
      <c r="N32" s="4" t="s">
        <v>292</v>
      </c>
      <c r="O32" s="4" t="s">
        <v>293</v>
      </c>
    </row>
    <row r="33" ht="22.5" customHeight="1">
      <c r="A33" s="28">
        <v>229.0</v>
      </c>
      <c r="B33" s="28" t="s">
        <v>105</v>
      </c>
      <c r="C33" s="28">
        <v>600.0</v>
      </c>
      <c r="D33" s="37">
        <v>4.0</v>
      </c>
      <c r="E33" s="29"/>
      <c r="F33" s="29"/>
      <c r="G33" s="30" t="s">
        <v>8</v>
      </c>
      <c r="H33" s="29"/>
      <c r="I33" s="30" t="s">
        <v>249</v>
      </c>
      <c r="J33" s="28">
        <v>600.0</v>
      </c>
      <c r="K33" s="38">
        <v>600.0</v>
      </c>
      <c r="L33" s="33">
        <v>0.0</v>
      </c>
      <c r="M33" s="28" t="s">
        <v>294</v>
      </c>
      <c r="N33" s="28" t="s">
        <v>295</v>
      </c>
      <c r="O33" s="28" t="s">
        <v>169</v>
      </c>
      <c r="P33" s="29"/>
      <c r="Q33" s="39">
        <v>45794.0</v>
      </c>
      <c r="R33" s="14">
        <v>8414.0</v>
      </c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22.5" customHeight="1">
      <c r="A34" s="4">
        <v>230.0</v>
      </c>
      <c r="B34" s="4" t="s">
        <v>107</v>
      </c>
      <c r="C34" s="4">
        <v>600.0</v>
      </c>
      <c r="D34" s="4">
        <v>4.0</v>
      </c>
      <c r="G34" s="3" t="s">
        <v>8</v>
      </c>
      <c r="I34" s="3" t="s">
        <v>249</v>
      </c>
      <c r="J34" s="4">
        <v>600.0</v>
      </c>
      <c r="K34" s="36">
        <v>600.0</v>
      </c>
      <c r="L34" s="4">
        <v>0.0</v>
      </c>
      <c r="M34" s="4" t="s">
        <v>276</v>
      </c>
      <c r="N34" s="4" t="s">
        <v>296</v>
      </c>
      <c r="O34" s="4" t="s">
        <v>166</v>
      </c>
    </row>
    <row r="36">
      <c r="A36" s="12" t="s">
        <v>197</v>
      </c>
      <c r="B36" s="17"/>
      <c r="C36" s="17">
        <f>SUM(C2:C34)</f>
        <v>19990</v>
      </c>
      <c r="D36" s="17"/>
      <c r="E36" s="17"/>
      <c r="F36" s="17"/>
      <c r="G36" s="17">
        <f t="array" ref="G36">COUNTIF(G2:G34,"y")</f>
        <v>25</v>
      </c>
      <c r="H36" s="17"/>
      <c r="I36" s="17"/>
      <c r="J36" s="17">
        <f t="shared" ref="J36:L36" si="1">SUM(J2:J34)</f>
        <v>15220</v>
      </c>
      <c r="K36" s="40">
        <f t="shared" si="1"/>
        <v>15060</v>
      </c>
      <c r="L36" s="41">
        <f t="shared" si="1"/>
        <v>1635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9">
      <c r="A39" s="18" t="s">
        <v>34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</row>
    <row r="40">
      <c r="A40" s="20" t="s">
        <v>198</v>
      </c>
      <c r="B40" s="20" t="s">
        <v>121</v>
      </c>
      <c r="C40" s="21"/>
      <c r="D40" s="20" t="s">
        <v>199</v>
      </c>
      <c r="E40" s="20">
        <v>1.0</v>
      </c>
      <c r="F40" s="20">
        <v>2.0</v>
      </c>
      <c r="G40" s="20">
        <v>3.0</v>
      </c>
      <c r="H40" s="20">
        <v>4.0</v>
      </c>
      <c r="I40" s="20"/>
      <c r="J40" s="20">
        <v>5.0</v>
      </c>
      <c r="K40" s="20">
        <v>6.0</v>
      </c>
      <c r="L40" s="20">
        <v>7.0</v>
      </c>
      <c r="M40" s="20">
        <v>8.0</v>
      </c>
      <c r="N40" s="20">
        <v>9.0</v>
      </c>
      <c r="O40" s="22" t="s">
        <v>200</v>
      </c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>
      <c r="A41" s="7" t="s">
        <v>122</v>
      </c>
      <c r="B41" s="42">
        <f>O49</f>
        <v>4460</v>
      </c>
      <c r="D41" s="7" t="s">
        <v>61</v>
      </c>
      <c r="E41" s="7">
        <v>600.0</v>
      </c>
      <c r="F41" s="7">
        <v>600.0</v>
      </c>
      <c r="G41" s="7">
        <v>500.0</v>
      </c>
      <c r="H41" s="7">
        <v>500.0</v>
      </c>
      <c r="O41" s="17">
        <f t="shared" ref="O41:O48" si="2">SUM(E41:N41)</f>
        <v>2200</v>
      </c>
    </row>
    <row r="42">
      <c r="A42" s="7" t="s">
        <v>123</v>
      </c>
      <c r="B42" s="42">
        <v>0.0</v>
      </c>
      <c r="D42" s="7" t="s">
        <v>201</v>
      </c>
      <c r="E42" s="7">
        <v>250.0</v>
      </c>
      <c r="F42" s="7">
        <v>260.0</v>
      </c>
      <c r="G42" s="7">
        <v>250.0</v>
      </c>
      <c r="H42" s="7">
        <v>250.0</v>
      </c>
      <c r="O42" s="17">
        <f t="shared" si="2"/>
        <v>1010</v>
      </c>
    </row>
    <row r="43">
      <c r="A43" s="7" t="s">
        <v>124</v>
      </c>
      <c r="B43" s="42">
        <v>876.0</v>
      </c>
      <c r="D43" s="7" t="s">
        <v>202</v>
      </c>
      <c r="E43" s="7">
        <v>250.0</v>
      </c>
      <c r="O43" s="17">
        <f t="shared" si="2"/>
        <v>250</v>
      </c>
    </row>
    <row r="44">
      <c r="A44" s="7" t="s">
        <v>125</v>
      </c>
      <c r="B44" s="42">
        <v>385.0</v>
      </c>
      <c r="D44" s="7" t="s">
        <v>203</v>
      </c>
      <c r="O44" s="17">
        <f t="shared" si="2"/>
        <v>0</v>
      </c>
    </row>
    <row r="45">
      <c r="A45" s="7" t="s">
        <v>126</v>
      </c>
      <c r="B45" s="42">
        <v>280.0</v>
      </c>
      <c r="D45" s="7" t="s">
        <v>204</v>
      </c>
      <c r="O45" s="17">
        <f t="shared" si="2"/>
        <v>0</v>
      </c>
    </row>
    <row r="46">
      <c r="A46" s="7" t="s">
        <v>128</v>
      </c>
      <c r="B46" s="42">
        <v>500.0</v>
      </c>
      <c r="D46" s="7" t="s">
        <v>205</v>
      </c>
      <c r="O46" s="17">
        <f t="shared" si="2"/>
        <v>0</v>
      </c>
    </row>
    <row r="47">
      <c r="A47" s="7" t="s">
        <v>129</v>
      </c>
      <c r="B47" s="42">
        <v>1000.0</v>
      </c>
      <c r="D47" s="7" t="s">
        <v>206</v>
      </c>
      <c r="O47" s="17">
        <f t="shared" si="2"/>
        <v>0</v>
      </c>
    </row>
    <row r="48">
      <c r="A48" s="7" t="s">
        <v>207</v>
      </c>
      <c r="B48" s="42">
        <v>2600.0</v>
      </c>
      <c r="D48" s="7" t="s">
        <v>297</v>
      </c>
      <c r="E48" s="7">
        <v>0.0</v>
      </c>
      <c r="F48" s="7">
        <v>0.0</v>
      </c>
      <c r="G48" s="7">
        <v>500.0</v>
      </c>
      <c r="H48" s="7">
        <v>500.0</v>
      </c>
      <c r="O48" s="17">
        <f t="shared" si="2"/>
        <v>1000</v>
      </c>
    </row>
    <row r="49">
      <c r="A49" s="7" t="s">
        <v>208</v>
      </c>
      <c r="B49" s="43">
        <f>E80</f>
        <v>395.5</v>
      </c>
      <c r="O49" s="17">
        <f>SUM(O41:O48)</f>
        <v>4460</v>
      </c>
    </row>
    <row r="50">
      <c r="B50" s="43"/>
    </row>
    <row r="51">
      <c r="A51" s="7" t="s">
        <v>200</v>
      </c>
      <c r="B51" s="43">
        <f>SUM(B41:B49)</f>
        <v>10496.5</v>
      </c>
    </row>
    <row r="52">
      <c r="A52" s="17"/>
      <c r="B52" s="17"/>
      <c r="C52" s="17"/>
      <c r="D52" s="22" t="s">
        <v>209</v>
      </c>
      <c r="E52" s="22" t="s">
        <v>121</v>
      </c>
      <c r="F52" s="22" t="s">
        <v>210</v>
      </c>
      <c r="G52" s="22" t="s">
        <v>211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4">
      <c r="A54" s="7" t="s">
        <v>214</v>
      </c>
      <c r="B54" s="43">
        <f>K36</f>
        <v>15060</v>
      </c>
      <c r="E54" s="42">
        <v>162.36</v>
      </c>
      <c r="F54" s="7" t="s">
        <v>298</v>
      </c>
      <c r="G54" s="7" t="s">
        <v>299</v>
      </c>
    </row>
    <row r="55">
      <c r="A55" s="7" t="s">
        <v>217</v>
      </c>
      <c r="B55" s="43">
        <f>B51</f>
        <v>10496.5</v>
      </c>
      <c r="E55" s="42">
        <v>233.14</v>
      </c>
      <c r="F55" s="7" t="s">
        <v>298</v>
      </c>
      <c r="G55" s="7" t="s">
        <v>300</v>
      </c>
    </row>
    <row r="56">
      <c r="E56" s="42"/>
      <c r="F56" s="7"/>
    </row>
    <row r="57">
      <c r="A57" s="7" t="s">
        <v>221</v>
      </c>
      <c r="B57" s="43">
        <f>B54-B55</f>
        <v>4563.5</v>
      </c>
      <c r="E57" s="43"/>
    </row>
    <row r="58">
      <c r="E58" s="43"/>
    </row>
    <row r="59">
      <c r="E59" s="43"/>
    </row>
    <row r="60">
      <c r="E60" s="43"/>
    </row>
    <row r="61">
      <c r="E61" s="43"/>
    </row>
    <row r="62">
      <c r="E62" s="43"/>
    </row>
    <row r="63">
      <c r="E63" s="43"/>
    </row>
    <row r="64">
      <c r="E64" s="43"/>
    </row>
    <row r="65">
      <c r="E65" s="42"/>
    </row>
    <row r="66">
      <c r="E66" s="42"/>
    </row>
    <row r="67">
      <c r="E67" s="42"/>
    </row>
    <row r="68">
      <c r="E68" s="43"/>
    </row>
    <row r="69">
      <c r="E69" s="43"/>
    </row>
    <row r="70">
      <c r="E70" s="43"/>
    </row>
    <row r="71">
      <c r="E71" s="43"/>
    </row>
    <row r="72">
      <c r="E72" s="43"/>
    </row>
    <row r="73">
      <c r="E73" s="43"/>
    </row>
    <row r="74">
      <c r="E74" s="43"/>
    </row>
    <row r="75">
      <c r="E75" s="43"/>
    </row>
    <row r="76">
      <c r="E76" s="43"/>
    </row>
    <row r="77">
      <c r="E77" s="43"/>
    </row>
    <row r="78">
      <c r="D78" s="7"/>
      <c r="E78" s="43"/>
    </row>
    <row r="79">
      <c r="D79" s="7"/>
      <c r="E79" s="43"/>
    </row>
    <row r="80">
      <c r="D80" s="7" t="s">
        <v>200</v>
      </c>
      <c r="E80" s="43">
        <f>SUM(E53:E76)</f>
        <v>395.5</v>
      </c>
    </row>
  </sheetData>
  <dataValidations>
    <dataValidation type="list" allowBlank="1" showDropDown="1" showErrorMessage="1" sqref="G2:G34">
      <formula1>"y,n"</formula1>
    </dataValidation>
    <dataValidation type="custom" allowBlank="1" showDropDown="1" sqref="A2:A34 C2:D34 J2:L34">
      <formula1>AND(ISNUMBER(A2),(NOT(OR(NOT(ISERROR(DATEVALUE(A2))), AND(ISNUMBER(A2), LEFT(CELL("format", A2))="D")))))</formula1>
    </dataValidation>
    <dataValidation type="list" allowBlank="1" showDropDown="1" showErrorMessage="1" sqref="I2:I34">
      <formula1>"W,M,2W"</formula1>
    </dataValidation>
  </dataValidations>
  <printOptions gridLines="1" horizontalCentered="1"/>
  <pageMargins bottom="0.75" footer="0.0" header="0.0" left="0.7" right="0.7" top="0.75"/>
  <pageSetup fitToWidth="0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25"/>
    <col customWidth="1" min="2" max="2" width="26.13"/>
    <col customWidth="1" min="4" max="4" width="19.25"/>
    <col customWidth="1" min="6" max="6" width="18.63"/>
    <col customWidth="1" min="7" max="7" width="15.75"/>
    <col customWidth="1" min="8" max="8" width="19.0"/>
    <col customWidth="1" min="9" max="9" width="18.88"/>
    <col customWidth="1" min="12" max="12" width="17.75"/>
    <col customWidth="1" min="13" max="13" width="14.75"/>
    <col customWidth="1" min="14" max="14" width="15.5"/>
    <col customWidth="1" min="15" max="15" width="16.75"/>
    <col customWidth="1" min="18" max="18" width="19.38"/>
    <col customWidth="1" min="19" max="19" width="17.25"/>
  </cols>
  <sheetData>
    <row r="1">
      <c r="A1" s="44" t="s">
        <v>36</v>
      </c>
      <c r="B1" s="44" t="s">
        <v>37</v>
      </c>
      <c r="C1" s="44" t="s">
        <v>2</v>
      </c>
      <c r="D1" s="44" t="s">
        <v>38</v>
      </c>
      <c r="E1" s="44" t="s">
        <v>39</v>
      </c>
      <c r="F1" s="44" t="s">
        <v>40</v>
      </c>
      <c r="G1" s="44" t="s">
        <v>3</v>
      </c>
      <c r="H1" s="45" t="s">
        <v>245</v>
      </c>
      <c r="I1" s="44" t="s">
        <v>246</v>
      </c>
      <c r="J1" s="46" t="s">
        <v>41</v>
      </c>
      <c r="K1" s="46" t="s">
        <v>42</v>
      </c>
      <c r="L1" s="46" t="s">
        <v>43</v>
      </c>
      <c r="M1" s="44" t="s">
        <v>44</v>
      </c>
      <c r="N1" s="44" t="s">
        <v>45</v>
      </c>
      <c r="O1" s="44" t="s">
        <v>46</v>
      </c>
      <c r="P1" s="44" t="s">
        <v>47</v>
      </c>
      <c r="Q1" s="44" t="s">
        <v>301</v>
      </c>
      <c r="R1" s="12" t="s">
        <v>302</v>
      </c>
      <c r="S1" s="12"/>
      <c r="T1" s="13"/>
      <c r="U1" s="13"/>
      <c r="V1" s="13"/>
      <c r="W1" s="13"/>
      <c r="X1" s="13"/>
      <c r="Y1" s="13"/>
      <c r="Z1" s="13"/>
      <c r="AA1" s="13"/>
      <c r="AB1" s="13"/>
    </row>
    <row r="2">
      <c r="A2" s="8">
        <v>100.0</v>
      </c>
      <c r="B2" s="7" t="s">
        <v>48</v>
      </c>
      <c r="C2" s="8">
        <v>640.0</v>
      </c>
      <c r="D2" s="8">
        <v>4.0</v>
      </c>
      <c r="G2" s="7" t="s">
        <v>8</v>
      </c>
      <c r="I2" s="7" t="s">
        <v>249</v>
      </c>
      <c r="J2" s="42">
        <v>640.0</v>
      </c>
      <c r="K2" s="42">
        <v>640.0</v>
      </c>
      <c r="L2" s="42">
        <v>0.0</v>
      </c>
      <c r="M2" s="7" t="s">
        <v>303</v>
      </c>
      <c r="N2" s="7" t="s">
        <v>304</v>
      </c>
      <c r="O2" s="7" t="s">
        <v>80</v>
      </c>
      <c r="Q2" s="47">
        <v>45800.0</v>
      </c>
      <c r="R2" s="7">
        <v>8424.0</v>
      </c>
    </row>
    <row r="3">
      <c r="A3" s="8">
        <v>101.0</v>
      </c>
      <c r="B3" s="7" t="s">
        <v>10</v>
      </c>
      <c r="C3" s="8">
        <v>640.0</v>
      </c>
      <c r="D3" s="8">
        <v>1.0</v>
      </c>
      <c r="G3" s="7" t="s">
        <v>8</v>
      </c>
      <c r="I3" s="7" t="s">
        <v>253</v>
      </c>
      <c r="J3" s="42">
        <v>640.0</v>
      </c>
      <c r="K3" s="42">
        <v>640.0</v>
      </c>
      <c r="L3" s="42">
        <v>0.0</v>
      </c>
      <c r="M3" s="10">
        <v>45777.0</v>
      </c>
      <c r="N3" s="7">
        <v>1378.0</v>
      </c>
      <c r="O3" s="7" t="s">
        <v>119</v>
      </c>
    </row>
    <row r="4">
      <c r="B4" s="7"/>
      <c r="C4" s="8"/>
      <c r="D4" s="8"/>
      <c r="G4" s="48"/>
      <c r="I4" s="48"/>
      <c r="J4" s="42"/>
      <c r="K4" s="42"/>
      <c r="L4" s="42"/>
      <c r="M4" s="7" t="s">
        <v>305</v>
      </c>
      <c r="N4" s="7"/>
    </row>
    <row r="5">
      <c r="A5" s="8">
        <v>102.0</v>
      </c>
      <c r="B5" s="7" t="s">
        <v>306</v>
      </c>
      <c r="C5" s="8">
        <v>640.0</v>
      </c>
      <c r="D5" s="8"/>
      <c r="G5" s="7" t="s">
        <v>8</v>
      </c>
      <c r="I5" s="7" t="s">
        <v>249</v>
      </c>
      <c r="J5" s="42">
        <v>0.0</v>
      </c>
      <c r="K5" s="42"/>
      <c r="L5" s="42">
        <v>160.0</v>
      </c>
    </row>
    <row r="6">
      <c r="A6" s="8">
        <v>103.0</v>
      </c>
      <c r="B6" s="7" t="s">
        <v>13</v>
      </c>
      <c r="C6" s="8">
        <v>640.0</v>
      </c>
      <c r="D6" s="8">
        <v>2.0</v>
      </c>
      <c r="G6" s="7" t="s">
        <v>8</v>
      </c>
      <c r="I6" s="7" t="s">
        <v>253</v>
      </c>
      <c r="J6" s="42">
        <v>640.0</v>
      </c>
      <c r="K6" s="42">
        <v>600.0</v>
      </c>
      <c r="L6" s="42">
        <v>40.0</v>
      </c>
      <c r="M6" s="7" t="s">
        <v>307</v>
      </c>
      <c r="N6" s="7" t="s">
        <v>308</v>
      </c>
      <c r="O6" s="7" t="s">
        <v>140</v>
      </c>
    </row>
    <row r="7">
      <c r="A7" s="8">
        <v>104.0</v>
      </c>
      <c r="B7" s="7" t="s">
        <v>141</v>
      </c>
      <c r="C7" s="8">
        <v>650.0</v>
      </c>
      <c r="D7" s="8">
        <v>1.0</v>
      </c>
      <c r="G7" s="7" t="s">
        <v>8</v>
      </c>
      <c r="I7" s="7" t="s">
        <v>249</v>
      </c>
      <c r="J7" s="42">
        <v>650.0</v>
      </c>
      <c r="K7" s="42">
        <v>550.0</v>
      </c>
      <c r="L7" s="42"/>
      <c r="M7" s="7" t="s">
        <v>309</v>
      </c>
      <c r="N7" s="7" t="s">
        <v>310</v>
      </c>
      <c r="O7" s="7" t="s">
        <v>140</v>
      </c>
      <c r="P7" s="7" t="s">
        <v>145</v>
      </c>
      <c r="Q7" s="47">
        <v>45793.0</v>
      </c>
      <c r="R7" s="7">
        <v>8409.0</v>
      </c>
    </row>
    <row r="8">
      <c r="A8" s="8">
        <v>105.0</v>
      </c>
      <c r="B8" s="7" t="s">
        <v>146</v>
      </c>
      <c r="C8" s="8">
        <v>640.0</v>
      </c>
      <c r="D8" s="8">
        <v>4.0</v>
      </c>
      <c r="G8" s="7" t="s">
        <v>8</v>
      </c>
      <c r="I8" s="7" t="s">
        <v>249</v>
      </c>
      <c r="J8" s="42">
        <v>640.0</v>
      </c>
      <c r="K8" s="42">
        <v>640.0</v>
      </c>
      <c r="L8" s="42">
        <v>150.0</v>
      </c>
      <c r="M8" s="7" t="s">
        <v>311</v>
      </c>
      <c r="N8" s="7" t="s">
        <v>312</v>
      </c>
      <c r="O8" s="7" t="s">
        <v>80</v>
      </c>
    </row>
    <row r="9">
      <c r="A9" s="8">
        <v>106.0</v>
      </c>
      <c r="B9" s="7" t="s">
        <v>313</v>
      </c>
      <c r="C9" s="8">
        <v>640.0</v>
      </c>
      <c r="G9" s="7" t="s">
        <v>11</v>
      </c>
      <c r="J9" s="42">
        <v>170.0</v>
      </c>
      <c r="K9" s="42">
        <v>0.0</v>
      </c>
      <c r="L9" s="42">
        <v>170.0</v>
      </c>
    </row>
    <row r="10">
      <c r="A10" s="8">
        <v>107.0</v>
      </c>
      <c r="C10" s="8">
        <v>640.0</v>
      </c>
      <c r="G10" s="7" t="s">
        <v>11</v>
      </c>
      <c r="J10" s="43"/>
      <c r="K10" s="43"/>
      <c r="L10" s="43"/>
    </row>
    <row r="11">
      <c r="A11" s="8">
        <v>108.0</v>
      </c>
      <c r="C11" s="8">
        <v>640.0</v>
      </c>
      <c r="G11" s="7" t="s">
        <v>11</v>
      </c>
      <c r="J11" s="43"/>
      <c r="K11" s="42"/>
      <c r="L11" s="43"/>
      <c r="M11" s="10"/>
    </row>
    <row r="12">
      <c r="A12" s="8">
        <v>109.0</v>
      </c>
      <c r="B12" s="7" t="s">
        <v>314</v>
      </c>
      <c r="C12" s="8">
        <v>600.0</v>
      </c>
      <c r="D12" s="8">
        <v>1.0</v>
      </c>
      <c r="G12" s="7" t="s">
        <v>8</v>
      </c>
      <c r="I12" s="7" t="s">
        <v>249</v>
      </c>
      <c r="J12" s="42">
        <v>150.0</v>
      </c>
      <c r="K12" s="42">
        <v>150.0</v>
      </c>
      <c r="L12" s="42">
        <v>150.0</v>
      </c>
      <c r="M12" s="49">
        <v>45800.0</v>
      </c>
      <c r="N12" s="7">
        <v>8415.0</v>
      </c>
    </row>
    <row r="13">
      <c r="A13" s="8">
        <v>110.0</v>
      </c>
      <c r="B13" s="7" t="s">
        <v>62</v>
      </c>
      <c r="C13" s="8">
        <v>600.0</v>
      </c>
      <c r="G13" s="7" t="s">
        <v>8</v>
      </c>
      <c r="I13" s="7" t="s">
        <v>249</v>
      </c>
      <c r="J13" s="42">
        <v>600.0</v>
      </c>
      <c r="K13" s="42">
        <v>450.0</v>
      </c>
      <c r="L13" s="42">
        <v>150.0</v>
      </c>
      <c r="O13" s="7"/>
    </row>
    <row r="14">
      <c r="A14" s="8">
        <v>111.0</v>
      </c>
      <c r="B14" s="7" t="s">
        <v>19</v>
      </c>
      <c r="C14" s="8">
        <v>600.0</v>
      </c>
      <c r="D14" s="8"/>
      <c r="G14" s="7" t="s">
        <v>8</v>
      </c>
      <c r="I14" s="7" t="s">
        <v>266</v>
      </c>
      <c r="J14" s="42"/>
      <c r="K14" s="42"/>
      <c r="L14" s="42"/>
    </row>
    <row r="15">
      <c r="A15" s="8">
        <v>112.0</v>
      </c>
      <c r="B15" s="7" t="s">
        <v>66</v>
      </c>
      <c r="C15" s="8">
        <v>600.0</v>
      </c>
      <c r="D15" s="8"/>
      <c r="G15" s="7" t="s">
        <v>8</v>
      </c>
      <c r="I15" s="7" t="s">
        <v>253</v>
      </c>
      <c r="J15" s="42"/>
      <c r="K15" s="42"/>
      <c r="L15" s="42">
        <v>0.0</v>
      </c>
    </row>
    <row r="16">
      <c r="A16" s="8">
        <v>113.0</v>
      </c>
      <c r="B16" s="7" t="s">
        <v>21</v>
      </c>
      <c r="C16" s="8">
        <v>600.0</v>
      </c>
      <c r="D16" s="8">
        <v>1.0</v>
      </c>
      <c r="G16" s="7" t="s">
        <v>8</v>
      </c>
      <c r="I16" s="7" t="s">
        <v>253</v>
      </c>
      <c r="J16" s="42">
        <v>450.0</v>
      </c>
      <c r="K16" s="42">
        <v>450.0</v>
      </c>
      <c r="L16" s="42">
        <v>150.0</v>
      </c>
      <c r="M16" s="49">
        <v>45778.0</v>
      </c>
      <c r="N16" s="7">
        <v>1383.0</v>
      </c>
      <c r="O16" s="7" t="s">
        <v>140</v>
      </c>
    </row>
    <row r="17">
      <c r="A17" s="8">
        <v>114.0</v>
      </c>
      <c r="B17" s="7" t="s">
        <v>70</v>
      </c>
      <c r="C17" s="8">
        <v>600.0</v>
      </c>
      <c r="D17" s="8">
        <v>1.0</v>
      </c>
      <c r="G17" s="7" t="s">
        <v>8</v>
      </c>
      <c r="I17" s="7" t="s">
        <v>253</v>
      </c>
      <c r="J17" s="42">
        <v>600.0</v>
      </c>
      <c r="K17" s="42">
        <v>600.0</v>
      </c>
      <c r="L17" s="42">
        <v>0.0</v>
      </c>
      <c r="M17" s="10">
        <v>45779.0</v>
      </c>
      <c r="N17" s="7" t="s">
        <v>315</v>
      </c>
      <c r="O17" s="7" t="s">
        <v>119</v>
      </c>
    </row>
    <row r="18">
      <c r="A18" s="8">
        <v>215.0</v>
      </c>
      <c r="B18" s="7" t="s">
        <v>71</v>
      </c>
      <c r="C18" s="8">
        <v>600.0</v>
      </c>
      <c r="D18" s="8">
        <v>2.0</v>
      </c>
      <c r="G18" s="7" t="s">
        <v>8</v>
      </c>
      <c r="H18" s="7" t="s">
        <v>316</v>
      </c>
      <c r="I18" s="7" t="s">
        <v>266</v>
      </c>
      <c r="J18" s="42">
        <v>600.0</v>
      </c>
      <c r="K18" s="42">
        <v>620.0</v>
      </c>
      <c r="L18" s="42">
        <v>0.0</v>
      </c>
      <c r="M18" s="7" t="s">
        <v>317</v>
      </c>
      <c r="N18" s="7" t="s">
        <v>318</v>
      </c>
      <c r="O18" s="7" t="s">
        <v>140</v>
      </c>
    </row>
    <row r="19">
      <c r="A19" s="8">
        <v>216.0</v>
      </c>
      <c r="B19" s="7" t="s">
        <v>22</v>
      </c>
      <c r="C19" s="8">
        <v>640.0</v>
      </c>
      <c r="D19" s="8">
        <v>4.0</v>
      </c>
      <c r="G19" s="7" t="s">
        <v>8</v>
      </c>
      <c r="I19" s="7" t="s">
        <v>249</v>
      </c>
      <c r="J19" s="42">
        <v>600.0</v>
      </c>
      <c r="K19" s="42">
        <v>600.0</v>
      </c>
      <c r="L19" s="42">
        <v>150.0</v>
      </c>
      <c r="M19" s="7" t="s">
        <v>319</v>
      </c>
      <c r="N19" s="7" t="s">
        <v>320</v>
      </c>
      <c r="O19" s="7" t="s">
        <v>140</v>
      </c>
      <c r="Q19" s="49">
        <v>45800.0</v>
      </c>
      <c r="R19" s="7">
        <v>8413.0</v>
      </c>
    </row>
    <row r="20">
      <c r="A20" s="50">
        <v>217.0</v>
      </c>
      <c r="B20" s="51" t="s">
        <v>116</v>
      </c>
      <c r="C20" s="50">
        <v>640.0</v>
      </c>
      <c r="D20" s="50"/>
      <c r="E20" s="52"/>
      <c r="F20" s="52"/>
      <c r="G20" s="51" t="s">
        <v>8</v>
      </c>
      <c r="H20" s="52"/>
      <c r="I20" s="51" t="s">
        <v>249</v>
      </c>
      <c r="J20" s="53">
        <v>0.0</v>
      </c>
      <c r="K20" s="53"/>
      <c r="L20" s="53">
        <v>0.0</v>
      </c>
      <c r="M20" s="54"/>
      <c r="N20" s="51"/>
      <c r="O20" s="51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>
      <c r="A21" s="8">
        <v>217.0</v>
      </c>
      <c r="B21" s="7" t="s">
        <v>321</v>
      </c>
      <c r="C21" s="8">
        <v>640.0</v>
      </c>
      <c r="D21" s="8">
        <v>3.0</v>
      </c>
      <c r="G21" s="7" t="s">
        <v>8</v>
      </c>
      <c r="I21" s="7" t="s">
        <v>249</v>
      </c>
      <c r="J21" s="42">
        <v>350.0</v>
      </c>
      <c r="K21" s="42">
        <v>0.0</v>
      </c>
      <c r="L21" s="42">
        <v>350.0</v>
      </c>
      <c r="M21" s="10"/>
      <c r="N21" s="7"/>
      <c r="O21" s="7"/>
    </row>
    <row r="22">
      <c r="A22" s="8">
        <v>218.0</v>
      </c>
      <c r="B22" s="7" t="s">
        <v>77</v>
      </c>
      <c r="C22" s="8">
        <v>640.0</v>
      </c>
      <c r="D22" s="8">
        <v>1.0</v>
      </c>
      <c r="G22" s="7" t="s">
        <v>8</v>
      </c>
      <c r="I22" s="7" t="s">
        <v>253</v>
      </c>
      <c r="J22" s="42">
        <v>440.0</v>
      </c>
      <c r="K22" s="42">
        <v>440.0</v>
      </c>
      <c r="L22" s="42">
        <v>0.0</v>
      </c>
      <c r="M22" s="10">
        <v>45779.0</v>
      </c>
      <c r="N22" s="7">
        <v>1383.0</v>
      </c>
      <c r="O22" s="7" t="s">
        <v>140</v>
      </c>
      <c r="P22" s="7" t="s">
        <v>81</v>
      </c>
      <c r="Q22" s="55"/>
    </row>
    <row r="23">
      <c r="A23" s="8">
        <v>219.0</v>
      </c>
      <c r="B23" s="7" t="s">
        <v>82</v>
      </c>
      <c r="C23" s="8">
        <v>640.0</v>
      </c>
      <c r="D23" s="8">
        <v>4.0</v>
      </c>
      <c r="G23" s="7" t="s">
        <v>8</v>
      </c>
      <c r="I23" s="7" t="s">
        <v>266</v>
      </c>
      <c r="J23" s="42">
        <v>640.0</v>
      </c>
      <c r="K23" s="42">
        <v>640.0</v>
      </c>
      <c r="L23" s="42">
        <v>0.0</v>
      </c>
      <c r="M23" s="7" t="s">
        <v>322</v>
      </c>
      <c r="N23" s="7" t="s">
        <v>323</v>
      </c>
    </row>
    <row r="24">
      <c r="A24" s="7" t="s">
        <v>282</v>
      </c>
      <c r="B24" s="7" t="s">
        <v>283</v>
      </c>
      <c r="C24" s="8">
        <v>650.0</v>
      </c>
      <c r="D24" s="8">
        <v>1.0</v>
      </c>
      <c r="G24" s="48"/>
      <c r="I24" s="7" t="s">
        <v>253</v>
      </c>
      <c r="J24" s="42">
        <v>650.0</v>
      </c>
      <c r="K24" s="42">
        <v>500.0</v>
      </c>
      <c r="L24" s="42">
        <v>0.0</v>
      </c>
      <c r="M24" s="10">
        <v>45789.0</v>
      </c>
      <c r="N24" s="7" t="s">
        <v>324</v>
      </c>
      <c r="O24" s="7" t="s">
        <v>140</v>
      </c>
    </row>
    <row r="25">
      <c r="A25" s="8">
        <v>220.0</v>
      </c>
      <c r="B25" s="7" t="s">
        <v>27</v>
      </c>
      <c r="C25" s="8">
        <v>640.0</v>
      </c>
      <c r="D25" s="8"/>
      <c r="G25" s="7" t="s">
        <v>8</v>
      </c>
      <c r="I25" s="7" t="s">
        <v>249</v>
      </c>
      <c r="J25" s="42"/>
      <c r="K25" s="42"/>
      <c r="L25" s="42"/>
    </row>
    <row r="26">
      <c r="A26" s="8">
        <v>221.0</v>
      </c>
      <c r="B26" s="7" t="s">
        <v>25</v>
      </c>
      <c r="C26" s="8">
        <v>650.0</v>
      </c>
      <c r="D26" s="8">
        <v>1.0</v>
      </c>
      <c r="G26" s="7" t="s">
        <v>11</v>
      </c>
      <c r="I26" s="7" t="s">
        <v>249</v>
      </c>
      <c r="J26" s="42">
        <v>550.0</v>
      </c>
      <c r="K26" s="42">
        <v>550.0</v>
      </c>
      <c r="L26" s="42">
        <v>150.0</v>
      </c>
      <c r="M26" s="10">
        <v>45778.0</v>
      </c>
      <c r="N26" s="7">
        <v>1380.0</v>
      </c>
      <c r="O26" s="7" t="s">
        <v>140</v>
      </c>
    </row>
    <row r="27">
      <c r="A27" s="50">
        <v>222.0</v>
      </c>
      <c r="B27" s="51" t="s">
        <v>92</v>
      </c>
      <c r="C27" s="50">
        <v>640.0</v>
      </c>
      <c r="D27" s="52"/>
      <c r="E27" s="56">
        <v>945.0</v>
      </c>
      <c r="F27" s="52"/>
      <c r="G27" s="51" t="s">
        <v>8</v>
      </c>
      <c r="H27" s="52"/>
      <c r="I27" s="51" t="s">
        <v>266</v>
      </c>
      <c r="J27" s="53">
        <v>600.0</v>
      </c>
      <c r="K27" s="53">
        <v>0.0</v>
      </c>
      <c r="L27" s="53">
        <v>1545.0</v>
      </c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8">
        <v>222.0</v>
      </c>
      <c r="B28" s="7" t="s">
        <v>325</v>
      </c>
      <c r="C28" s="8">
        <v>640.0</v>
      </c>
      <c r="D28" s="7">
        <v>3.0</v>
      </c>
      <c r="E28" s="57"/>
      <c r="G28" s="7" t="s">
        <v>8</v>
      </c>
      <c r="I28" s="7" t="s">
        <v>326</v>
      </c>
      <c r="J28" s="42">
        <v>320.0</v>
      </c>
      <c r="K28" s="42">
        <v>320.0</v>
      </c>
      <c r="L28" s="42">
        <v>0.0</v>
      </c>
      <c r="M28" s="47">
        <v>45800.0</v>
      </c>
      <c r="N28" s="7">
        <v>8412.0</v>
      </c>
      <c r="O28" s="7" t="s">
        <v>140</v>
      </c>
    </row>
    <row r="29">
      <c r="A29" s="8">
        <v>223.0</v>
      </c>
      <c r="C29" s="8">
        <v>640.0</v>
      </c>
      <c r="G29" s="7" t="s">
        <v>11</v>
      </c>
      <c r="J29" s="43"/>
      <c r="K29" s="43"/>
      <c r="L29" s="43"/>
    </row>
    <row r="30">
      <c r="A30" s="8">
        <v>224.0</v>
      </c>
      <c r="C30" s="8">
        <v>640.0</v>
      </c>
      <c r="G30" s="7" t="s">
        <v>11</v>
      </c>
      <c r="I30" s="48"/>
      <c r="J30" s="43"/>
      <c r="K30" s="43"/>
      <c r="L30" s="43"/>
    </row>
    <row r="31">
      <c r="A31" s="8">
        <v>225.0</v>
      </c>
      <c r="B31" s="7" t="s">
        <v>93</v>
      </c>
      <c r="C31" s="8">
        <v>600.0</v>
      </c>
      <c r="D31" s="8">
        <v>1.0</v>
      </c>
      <c r="G31" s="7" t="s">
        <v>8</v>
      </c>
      <c r="I31" s="7" t="s">
        <v>249</v>
      </c>
      <c r="J31" s="42">
        <v>600.0</v>
      </c>
      <c r="K31" s="58">
        <v>600.0</v>
      </c>
      <c r="L31" s="42">
        <v>150.0</v>
      </c>
      <c r="M31" s="7" t="s">
        <v>322</v>
      </c>
      <c r="N31" s="7" t="s">
        <v>327</v>
      </c>
    </row>
    <row r="32">
      <c r="A32" s="8">
        <v>226.0</v>
      </c>
      <c r="B32" s="7" t="s">
        <v>96</v>
      </c>
      <c r="C32" s="8">
        <v>600.0</v>
      </c>
      <c r="D32" s="8">
        <v>1.0</v>
      </c>
      <c r="G32" s="7" t="s">
        <v>8</v>
      </c>
      <c r="I32" s="7" t="s">
        <v>253</v>
      </c>
      <c r="J32" s="42">
        <v>600.0</v>
      </c>
      <c r="K32" s="59">
        <v>600.0</v>
      </c>
      <c r="L32" s="42">
        <v>0.0</v>
      </c>
      <c r="M32" s="49">
        <v>45778.0</v>
      </c>
      <c r="N32" s="7">
        <v>1381.0</v>
      </c>
      <c r="O32" s="7" t="s">
        <v>140</v>
      </c>
    </row>
    <row r="33">
      <c r="A33" s="8">
        <v>227.0</v>
      </c>
      <c r="B33" s="7" t="s">
        <v>101</v>
      </c>
      <c r="C33" s="8">
        <v>600.0</v>
      </c>
      <c r="D33" s="8"/>
      <c r="G33" s="7" t="s">
        <v>8</v>
      </c>
      <c r="I33" s="7" t="s">
        <v>253</v>
      </c>
      <c r="J33" s="42">
        <v>600.0</v>
      </c>
      <c r="K33" s="59"/>
      <c r="L33" s="42">
        <v>0.0</v>
      </c>
      <c r="M33" s="10"/>
    </row>
    <row r="34">
      <c r="A34" s="8">
        <v>228.0</v>
      </c>
      <c r="B34" s="7" t="s">
        <v>29</v>
      </c>
      <c r="C34" s="8">
        <v>600.0</v>
      </c>
      <c r="D34" s="8"/>
      <c r="G34" s="7" t="s">
        <v>8</v>
      </c>
      <c r="I34" s="7" t="s">
        <v>266</v>
      </c>
      <c r="J34" s="42">
        <v>600.0</v>
      </c>
      <c r="K34" s="58">
        <v>300.0</v>
      </c>
      <c r="L34" s="42">
        <v>300.0</v>
      </c>
      <c r="M34" s="7" t="s">
        <v>328</v>
      </c>
      <c r="N34" s="7" t="s">
        <v>329</v>
      </c>
      <c r="O34" s="7" t="s">
        <v>330</v>
      </c>
    </row>
    <row r="35">
      <c r="A35" s="60">
        <v>229.0</v>
      </c>
      <c r="B35" s="14" t="s">
        <v>105</v>
      </c>
      <c r="C35" s="60">
        <v>600.0</v>
      </c>
      <c r="D35" s="60"/>
      <c r="E35" s="15"/>
      <c r="F35" s="15"/>
      <c r="G35" s="14" t="s">
        <v>8</v>
      </c>
      <c r="H35" s="15"/>
      <c r="I35" s="14" t="s">
        <v>249</v>
      </c>
      <c r="J35" s="61">
        <v>600.0</v>
      </c>
      <c r="K35" s="62">
        <v>0.0</v>
      </c>
      <c r="L35" s="61">
        <v>600.0</v>
      </c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8">
        <v>230.0</v>
      </c>
      <c r="B36" s="7" t="s">
        <v>107</v>
      </c>
      <c r="C36" s="8">
        <v>600.0</v>
      </c>
      <c r="D36" s="8"/>
      <c r="G36" s="7" t="s">
        <v>8</v>
      </c>
      <c r="I36" s="7" t="s">
        <v>249</v>
      </c>
      <c r="J36" s="42">
        <v>600.0</v>
      </c>
      <c r="K36" s="58">
        <v>600.0</v>
      </c>
      <c r="L36" s="42">
        <v>150.0</v>
      </c>
      <c r="M36" s="7" t="s">
        <v>303</v>
      </c>
      <c r="N36" s="7" t="s">
        <v>331</v>
      </c>
      <c r="O36" s="7" t="s">
        <v>140</v>
      </c>
      <c r="Q36" s="49">
        <v>45800.0</v>
      </c>
      <c r="R36" s="7">
        <v>8416.0</v>
      </c>
    </row>
    <row r="37">
      <c r="J37" s="43"/>
      <c r="K37" s="43"/>
      <c r="L37" s="43"/>
    </row>
    <row r="38">
      <c r="A38" s="12" t="s">
        <v>197</v>
      </c>
      <c r="B38" s="17"/>
      <c r="C38" s="40">
        <f>SUM(C2:C36)</f>
        <v>21270</v>
      </c>
      <c r="D38" s="17"/>
      <c r="E38" s="17"/>
      <c r="F38" s="17"/>
      <c r="G38" s="17">
        <f t="array" ref="G38">COUNTIF(G2:G36,"y")</f>
        <v>27</v>
      </c>
      <c r="H38" s="17"/>
      <c r="I38" s="17"/>
      <c r="J38" s="63">
        <f t="shared" ref="J38:L38" si="1">SUM(J2:J36)</f>
        <v>13530</v>
      </c>
      <c r="K38" s="63">
        <f t="shared" si="1"/>
        <v>10490</v>
      </c>
      <c r="L38" s="63">
        <f t="shared" si="1"/>
        <v>4365</v>
      </c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41">
      <c r="A41" s="18" t="s">
        <v>34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</row>
    <row r="42">
      <c r="A42" s="20" t="s">
        <v>198</v>
      </c>
      <c r="B42" s="20" t="s">
        <v>121</v>
      </c>
      <c r="C42" s="21"/>
      <c r="D42" s="20" t="s">
        <v>199</v>
      </c>
      <c r="E42" s="20">
        <v>1.0</v>
      </c>
      <c r="F42" s="20">
        <v>2.0</v>
      </c>
      <c r="G42" s="20">
        <v>3.0</v>
      </c>
      <c r="H42" s="20">
        <v>4.0</v>
      </c>
      <c r="I42" s="20"/>
      <c r="J42" s="20">
        <v>5.0</v>
      </c>
      <c r="K42" s="20">
        <v>6.0</v>
      </c>
      <c r="L42" s="20">
        <v>7.0</v>
      </c>
      <c r="M42" s="20">
        <v>8.0</v>
      </c>
      <c r="N42" s="20">
        <v>9.0</v>
      </c>
      <c r="O42" s="22" t="s">
        <v>200</v>
      </c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>
      <c r="A43" s="7" t="s">
        <v>122</v>
      </c>
      <c r="B43" s="42">
        <f>O51</f>
        <v>5434.5</v>
      </c>
      <c r="D43" s="7" t="s">
        <v>61</v>
      </c>
      <c r="E43" s="7">
        <v>600.0</v>
      </c>
      <c r="F43" s="7">
        <v>600.0</v>
      </c>
      <c r="G43" s="7">
        <v>500.0</v>
      </c>
      <c r="H43" s="7">
        <v>500.0</v>
      </c>
      <c r="O43" s="17">
        <f t="shared" ref="O43:O50" si="2">SUM(E43:N43)</f>
        <v>2200</v>
      </c>
    </row>
    <row r="44">
      <c r="A44" s="7" t="s">
        <v>123</v>
      </c>
      <c r="B44" s="42">
        <v>0.0</v>
      </c>
      <c r="D44" s="7" t="s">
        <v>201</v>
      </c>
      <c r="E44" s="7">
        <v>250.0</v>
      </c>
      <c r="F44" s="7">
        <v>260.0</v>
      </c>
      <c r="G44" s="7">
        <v>250.0</v>
      </c>
      <c r="H44" s="7">
        <v>250.0</v>
      </c>
      <c r="O44" s="17">
        <f t="shared" si="2"/>
        <v>1010</v>
      </c>
    </row>
    <row r="45">
      <c r="A45" s="7" t="s">
        <v>124</v>
      </c>
      <c r="B45" s="42">
        <v>876.0</v>
      </c>
      <c r="D45" s="7" t="s">
        <v>202</v>
      </c>
      <c r="E45" s="7">
        <v>250.0</v>
      </c>
      <c r="O45" s="17">
        <f t="shared" si="2"/>
        <v>250</v>
      </c>
    </row>
    <row r="46">
      <c r="A46" s="7" t="s">
        <v>125</v>
      </c>
      <c r="B46" s="42">
        <v>385.0</v>
      </c>
      <c r="D46" s="7" t="s">
        <v>203</v>
      </c>
      <c r="O46" s="17">
        <f t="shared" si="2"/>
        <v>0</v>
      </c>
    </row>
    <row r="47">
      <c r="A47" s="7" t="s">
        <v>126</v>
      </c>
      <c r="B47" s="42">
        <v>280.0</v>
      </c>
      <c r="D47" s="7" t="s">
        <v>204</v>
      </c>
      <c r="O47" s="17">
        <f t="shared" si="2"/>
        <v>0</v>
      </c>
    </row>
    <row r="48">
      <c r="A48" s="7" t="s">
        <v>128</v>
      </c>
      <c r="B48" s="42">
        <v>795.0</v>
      </c>
      <c r="D48" s="7" t="s">
        <v>205</v>
      </c>
      <c r="O48" s="17">
        <f t="shared" si="2"/>
        <v>0</v>
      </c>
    </row>
    <row r="49">
      <c r="A49" s="7" t="s">
        <v>129</v>
      </c>
      <c r="B49" s="42">
        <v>1000.0</v>
      </c>
      <c r="D49" s="7" t="s">
        <v>206</v>
      </c>
      <c r="O49" s="17">
        <f t="shared" si="2"/>
        <v>0</v>
      </c>
    </row>
    <row r="50">
      <c r="A50" s="7" t="s">
        <v>207</v>
      </c>
      <c r="B50" s="42">
        <v>2600.0</v>
      </c>
      <c r="D50" s="7" t="s">
        <v>297</v>
      </c>
      <c r="E50" s="7"/>
      <c r="F50" s="7">
        <v>362.0</v>
      </c>
      <c r="G50" s="7">
        <v>500.0</v>
      </c>
      <c r="H50" s="7">
        <v>500.0</v>
      </c>
      <c r="J50" s="7">
        <v>300.0</v>
      </c>
      <c r="K50" s="7">
        <v>312.5</v>
      </c>
      <c r="O50" s="17">
        <f t="shared" si="2"/>
        <v>1974.5</v>
      </c>
    </row>
    <row r="51">
      <c r="A51" s="7" t="s">
        <v>208</v>
      </c>
      <c r="B51" s="43">
        <f>E82</f>
        <v>395.5</v>
      </c>
      <c r="O51" s="17">
        <f>SUM(O43:O50)</f>
        <v>5434.5</v>
      </c>
    </row>
    <row r="52">
      <c r="B52" s="43"/>
    </row>
    <row r="53">
      <c r="A53" s="7" t="s">
        <v>200</v>
      </c>
      <c r="B53" s="43">
        <f>SUM(B43:B51)</f>
        <v>11766</v>
      </c>
    </row>
    <row r="54">
      <c r="A54" s="17"/>
      <c r="B54" s="17"/>
      <c r="C54" s="17"/>
      <c r="D54" s="22" t="s">
        <v>209</v>
      </c>
      <c r="E54" s="22" t="s">
        <v>121</v>
      </c>
      <c r="F54" s="22" t="s">
        <v>210</v>
      </c>
      <c r="G54" s="22" t="s">
        <v>211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6">
      <c r="A56" s="7" t="s">
        <v>214</v>
      </c>
      <c r="B56" s="43">
        <f>K38</f>
        <v>10490</v>
      </c>
      <c r="E56" s="42">
        <v>162.36</v>
      </c>
      <c r="F56" s="7" t="s">
        <v>298</v>
      </c>
      <c r="G56" s="7" t="s">
        <v>299</v>
      </c>
    </row>
    <row r="57">
      <c r="A57" s="7" t="s">
        <v>217</v>
      </c>
      <c r="B57" s="43">
        <f>B53</f>
        <v>11766</v>
      </c>
      <c r="E57" s="42">
        <v>233.14</v>
      </c>
      <c r="F57" s="7" t="s">
        <v>298</v>
      </c>
      <c r="G57" s="7" t="s">
        <v>332</v>
      </c>
    </row>
    <row r="58">
      <c r="E58" s="42"/>
      <c r="F58" s="7"/>
    </row>
    <row r="59">
      <c r="A59" s="7" t="s">
        <v>221</v>
      </c>
      <c r="B59" s="43">
        <f>B56-B57</f>
        <v>-1276</v>
      </c>
      <c r="E59" s="43"/>
    </row>
    <row r="60">
      <c r="E60" s="43"/>
    </row>
    <row r="61">
      <c r="E61" s="43"/>
    </row>
    <row r="62">
      <c r="E62" s="43"/>
    </row>
    <row r="63">
      <c r="E63" s="43"/>
    </row>
    <row r="64">
      <c r="E64" s="43"/>
    </row>
    <row r="65">
      <c r="E65" s="43"/>
    </row>
    <row r="66">
      <c r="E66" s="43"/>
    </row>
    <row r="67">
      <c r="E67" s="42"/>
    </row>
    <row r="68">
      <c r="E68" s="42"/>
    </row>
    <row r="69">
      <c r="E69" s="42"/>
    </row>
    <row r="70">
      <c r="E70" s="43"/>
    </row>
    <row r="71">
      <c r="E71" s="43"/>
    </row>
    <row r="72">
      <c r="E72" s="43"/>
    </row>
    <row r="73">
      <c r="E73" s="43"/>
    </row>
    <row r="74">
      <c r="E74" s="43"/>
    </row>
    <row r="75">
      <c r="E75" s="43"/>
    </row>
    <row r="76">
      <c r="E76" s="43"/>
    </row>
    <row r="77">
      <c r="E77" s="43"/>
    </row>
    <row r="78">
      <c r="E78" s="43"/>
    </row>
    <row r="79">
      <c r="E79" s="43"/>
    </row>
    <row r="80">
      <c r="D80" s="7"/>
      <c r="E80" s="43"/>
    </row>
    <row r="81">
      <c r="D81" s="7"/>
      <c r="E81" s="43"/>
    </row>
    <row r="82">
      <c r="D82" s="7" t="s">
        <v>200</v>
      </c>
      <c r="E82" s="43">
        <f>SUM(E55:E78)</f>
        <v>395.5</v>
      </c>
    </row>
  </sheetData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25"/>
    <col customWidth="1" min="2" max="2" width="26.13"/>
    <col customWidth="1" min="4" max="4" width="19.25"/>
    <col customWidth="1" min="6" max="6" width="18.63"/>
    <col customWidth="1" min="7" max="7" width="15.75"/>
    <col customWidth="1" min="8" max="8" width="19.0"/>
    <col customWidth="1" min="9" max="9" width="18.88"/>
    <col customWidth="1" min="12" max="12" width="17.75"/>
    <col customWidth="1" min="13" max="13" width="14.75"/>
    <col customWidth="1" min="14" max="14" width="15.5"/>
    <col customWidth="1" min="15" max="15" width="16.75"/>
    <col customWidth="1" min="18" max="18" width="19.38"/>
    <col customWidth="1" min="19" max="19" width="17.25"/>
  </cols>
  <sheetData>
    <row r="1">
      <c r="A1" s="44" t="s">
        <v>36</v>
      </c>
      <c r="B1" s="44" t="s">
        <v>37</v>
      </c>
      <c r="C1" s="44" t="s">
        <v>2</v>
      </c>
      <c r="D1" s="44" t="s">
        <v>38</v>
      </c>
      <c r="E1" s="44" t="s">
        <v>39</v>
      </c>
      <c r="F1" s="44" t="s">
        <v>40</v>
      </c>
      <c r="G1" s="44" t="s">
        <v>3</v>
      </c>
      <c r="H1" s="44" t="s">
        <v>7</v>
      </c>
      <c r="I1" s="44" t="s">
        <v>246</v>
      </c>
      <c r="J1" s="44" t="s">
        <v>41</v>
      </c>
      <c r="K1" s="44" t="s">
        <v>42</v>
      </c>
      <c r="L1" s="44" t="s">
        <v>43</v>
      </c>
      <c r="M1" s="44" t="s">
        <v>44</v>
      </c>
      <c r="N1" s="44" t="s">
        <v>45</v>
      </c>
      <c r="O1" s="44" t="s">
        <v>46</v>
      </c>
      <c r="P1" s="44" t="s">
        <v>47</v>
      </c>
      <c r="Q1" s="44" t="s">
        <v>247</v>
      </c>
      <c r="R1" s="12" t="s">
        <v>333</v>
      </c>
      <c r="S1" s="12" t="s">
        <v>334</v>
      </c>
      <c r="T1" s="12" t="s">
        <v>335</v>
      </c>
      <c r="U1" s="12" t="s">
        <v>336</v>
      </c>
      <c r="V1" s="12" t="s">
        <v>337</v>
      </c>
      <c r="W1" s="13"/>
      <c r="X1" s="13"/>
      <c r="Y1" s="13"/>
      <c r="Z1" s="13"/>
      <c r="AA1" s="13"/>
      <c r="AB1" s="13"/>
    </row>
    <row r="2">
      <c r="A2" s="8">
        <v>100.0</v>
      </c>
      <c r="B2" s="7" t="s">
        <v>48</v>
      </c>
      <c r="C2" s="42">
        <v>640.0</v>
      </c>
      <c r="D2" s="8">
        <v>4.0</v>
      </c>
      <c r="G2" s="7" t="s">
        <v>8</v>
      </c>
      <c r="I2" s="7" t="s">
        <v>249</v>
      </c>
      <c r="J2" s="42">
        <v>640.0</v>
      </c>
      <c r="K2" s="42">
        <v>640.0</v>
      </c>
      <c r="L2" s="42">
        <f t="shared" ref="L2:L10" si="1">SUM(J2-K2)</f>
        <v>0</v>
      </c>
      <c r="M2" s="47">
        <v>45807.0</v>
      </c>
      <c r="N2" s="7">
        <v>8429.0</v>
      </c>
      <c r="O2" s="7" t="s">
        <v>80</v>
      </c>
      <c r="Q2" s="47">
        <v>45814.0</v>
      </c>
      <c r="R2" s="7">
        <v>8459.0</v>
      </c>
      <c r="S2" s="47">
        <v>45821.0</v>
      </c>
      <c r="T2" s="7">
        <v>8468.0</v>
      </c>
      <c r="U2" s="47">
        <v>45828.0</v>
      </c>
      <c r="V2" s="7">
        <v>8470.0</v>
      </c>
    </row>
    <row r="3">
      <c r="A3" s="8">
        <v>101.0</v>
      </c>
      <c r="B3" s="7" t="s">
        <v>10</v>
      </c>
      <c r="C3" s="42">
        <v>640.0</v>
      </c>
      <c r="D3" s="8">
        <v>2.0</v>
      </c>
      <c r="G3" s="7" t="s">
        <v>8</v>
      </c>
      <c r="I3" s="7" t="s">
        <v>253</v>
      </c>
      <c r="J3" s="42">
        <v>640.0</v>
      </c>
      <c r="K3" s="42">
        <v>640.0</v>
      </c>
      <c r="L3" s="42">
        <f t="shared" si="1"/>
        <v>0</v>
      </c>
      <c r="M3" s="10">
        <v>45810.0</v>
      </c>
      <c r="N3" s="7">
        <v>8432.0</v>
      </c>
      <c r="O3" s="7" t="s">
        <v>140</v>
      </c>
    </row>
    <row r="4">
      <c r="A4" s="60">
        <v>102.0</v>
      </c>
      <c r="B4" s="14" t="s">
        <v>306</v>
      </c>
      <c r="C4" s="61">
        <v>700.0</v>
      </c>
      <c r="D4" s="60">
        <v>1.0</v>
      </c>
      <c r="E4" s="15"/>
      <c r="F4" s="15"/>
      <c r="G4" s="14" t="s">
        <v>8</v>
      </c>
      <c r="H4" s="15"/>
      <c r="I4" s="14" t="s">
        <v>249</v>
      </c>
      <c r="J4" s="61">
        <v>700.0</v>
      </c>
      <c r="K4" s="61">
        <v>300.0</v>
      </c>
      <c r="L4" s="61">
        <f t="shared" si="1"/>
        <v>400</v>
      </c>
      <c r="M4" s="64">
        <v>45815.0</v>
      </c>
      <c r="N4" s="14">
        <v>8449.0</v>
      </c>
      <c r="O4" s="14" t="s">
        <v>140</v>
      </c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>
      <c r="A5" s="8">
        <v>103.0</v>
      </c>
      <c r="B5" s="7" t="s">
        <v>13</v>
      </c>
      <c r="C5" s="42">
        <v>640.0</v>
      </c>
      <c r="D5" s="8">
        <v>3.0</v>
      </c>
      <c r="G5" s="7" t="s">
        <v>8</v>
      </c>
      <c r="I5" s="7" t="s">
        <v>253</v>
      </c>
      <c r="J5" s="42">
        <v>640.0</v>
      </c>
      <c r="K5" s="42">
        <v>640.0</v>
      </c>
      <c r="L5" s="42">
        <f t="shared" si="1"/>
        <v>0</v>
      </c>
      <c r="M5" s="47">
        <v>45811.0</v>
      </c>
      <c r="N5" s="7">
        <v>8437.0</v>
      </c>
      <c r="O5" s="7" t="s">
        <v>140</v>
      </c>
      <c r="Q5" s="47">
        <v>45814.0</v>
      </c>
      <c r="R5" s="7">
        <v>8446.0</v>
      </c>
      <c r="S5" s="47">
        <v>45824.0</v>
      </c>
      <c r="T5" s="7">
        <v>8462.0</v>
      </c>
    </row>
    <row r="6">
      <c r="A6" s="60">
        <v>104.0</v>
      </c>
      <c r="B6" s="14" t="s">
        <v>141</v>
      </c>
      <c r="C6" s="61">
        <v>650.0</v>
      </c>
      <c r="D6" s="60"/>
      <c r="E6" s="14"/>
      <c r="F6" s="14">
        <v>2.0</v>
      </c>
      <c r="G6" s="14" t="s">
        <v>8</v>
      </c>
      <c r="H6" s="15"/>
      <c r="I6" s="14" t="s">
        <v>249</v>
      </c>
      <c r="J6" s="61">
        <v>650.0</v>
      </c>
      <c r="K6" s="61">
        <v>100.0</v>
      </c>
      <c r="L6" s="61">
        <f t="shared" si="1"/>
        <v>550</v>
      </c>
      <c r="M6" s="64">
        <v>45827.0</v>
      </c>
      <c r="N6" s="14">
        <v>8403.0</v>
      </c>
      <c r="O6" s="14" t="s">
        <v>80</v>
      </c>
      <c r="P6" s="14" t="s">
        <v>145</v>
      </c>
      <c r="Q6" s="6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>
      <c r="A7" s="8">
        <v>105.0</v>
      </c>
      <c r="B7" s="7" t="s">
        <v>146</v>
      </c>
      <c r="C7" s="42">
        <v>640.0</v>
      </c>
      <c r="D7" s="8">
        <v>2.0</v>
      </c>
      <c r="G7" s="7" t="s">
        <v>8</v>
      </c>
      <c r="I7" s="7" t="s">
        <v>249</v>
      </c>
      <c r="J7" s="42">
        <v>640.0</v>
      </c>
      <c r="K7" s="42">
        <v>640.0</v>
      </c>
      <c r="L7" s="42">
        <f t="shared" si="1"/>
        <v>0</v>
      </c>
      <c r="S7" s="7"/>
    </row>
    <row r="8">
      <c r="A8" s="66">
        <v>106.0</v>
      </c>
      <c r="B8" s="67" t="s">
        <v>338</v>
      </c>
      <c r="C8" s="68">
        <v>640.0</v>
      </c>
      <c r="D8" s="69"/>
      <c r="E8" s="69"/>
      <c r="F8" s="69"/>
      <c r="G8" s="67" t="s">
        <v>8</v>
      </c>
      <c r="H8" s="69"/>
      <c r="I8" s="67" t="s">
        <v>249</v>
      </c>
      <c r="J8" s="68"/>
      <c r="K8" s="70"/>
      <c r="L8" s="68">
        <f t="shared" si="1"/>
        <v>0</v>
      </c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</row>
    <row r="9">
      <c r="A9" s="8">
        <v>107.0</v>
      </c>
      <c r="C9" s="42">
        <v>640.0</v>
      </c>
      <c r="G9" s="7" t="s">
        <v>11</v>
      </c>
      <c r="J9" s="43"/>
      <c r="K9" s="43"/>
      <c r="L9" s="42">
        <f t="shared" si="1"/>
        <v>0</v>
      </c>
    </row>
    <row r="10">
      <c r="A10" s="8">
        <v>108.0</v>
      </c>
      <c r="C10" s="42">
        <v>640.0</v>
      </c>
      <c r="G10" s="7" t="s">
        <v>11</v>
      </c>
      <c r="J10" s="43"/>
      <c r="K10" s="42"/>
      <c r="L10" s="42">
        <f t="shared" si="1"/>
        <v>0</v>
      </c>
      <c r="M10" s="10"/>
    </row>
    <row r="11">
      <c r="A11" s="8">
        <v>109.0</v>
      </c>
      <c r="B11" s="7" t="s">
        <v>339</v>
      </c>
      <c r="C11" s="42">
        <v>600.0</v>
      </c>
      <c r="D11" s="8"/>
      <c r="G11" s="7"/>
      <c r="I11" s="7"/>
      <c r="J11" s="42"/>
      <c r="K11" s="42"/>
      <c r="L11" s="42"/>
      <c r="M11" s="47"/>
      <c r="N11" s="7"/>
      <c r="O11" s="7"/>
      <c r="Q11" s="47"/>
      <c r="R11" s="7"/>
    </row>
    <row r="12">
      <c r="A12" s="60">
        <v>109.0</v>
      </c>
      <c r="B12" s="14" t="s">
        <v>340</v>
      </c>
      <c r="C12" s="61">
        <v>600.0</v>
      </c>
      <c r="D12" s="60">
        <v>2.0</v>
      </c>
      <c r="E12" s="15"/>
      <c r="F12" s="15"/>
      <c r="G12" s="14" t="s">
        <v>8</v>
      </c>
      <c r="H12" s="15"/>
      <c r="I12" s="14" t="s">
        <v>249</v>
      </c>
      <c r="J12" s="61">
        <v>600.0</v>
      </c>
      <c r="K12" s="61">
        <v>450.0</v>
      </c>
      <c r="L12" s="61">
        <f t="shared" ref="L12:L19" si="2">SUM(J12-K12)</f>
        <v>150</v>
      </c>
      <c r="M12" s="64">
        <v>45807.0</v>
      </c>
      <c r="N12" s="14">
        <v>8442.0</v>
      </c>
      <c r="O12" s="14" t="s">
        <v>80</v>
      </c>
      <c r="P12" s="15"/>
      <c r="Q12" s="64">
        <v>45821.0</v>
      </c>
      <c r="R12" s="14">
        <v>8457.0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>
      <c r="A13" s="8">
        <v>110.0</v>
      </c>
      <c r="B13" s="7" t="s">
        <v>62</v>
      </c>
      <c r="C13" s="42">
        <v>600.0</v>
      </c>
      <c r="D13" s="7">
        <v>1.0</v>
      </c>
      <c r="G13" s="7" t="s">
        <v>8</v>
      </c>
      <c r="I13" s="7" t="s">
        <v>249</v>
      </c>
      <c r="J13" s="42">
        <v>600.0</v>
      </c>
      <c r="K13" s="42">
        <v>600.0</v>
      </c>
      <c r="L13" s="42">
        <f t="shared" si="2"/>
        <v>0</v>
      </c>
      <c r="M13" s="47">
        <v>45810.0</v>
      </c>
      <c r="N13" s="7">
        <v>8434.0</v>
      </c>
      <c r="O13" s="7" t="s">
        <v>140</v>
      </c>
    </row>
    <row r="14">
      <c r="A14" s="8">
        <v>111.0</v>
      </c>
      <c r="B14" s="7" t="s">
        <v>19</v>
      </c>
      <c r="C14" s="42">
        <v>600.0</v>
      </c>
      <c r="D14" s="8"/>
      <c r="G14" s="7" t="s">
        <v>8</v>
      </c>
      <c r="I14" s="7" t="s">
        <v>266</v>
      </c>
      <c r="J14" s="42">
        <v>600.0</v>
      </c>
      <c r="K14" s="42">
        <v>600.0</v>
      </c>
      <c r="L14" s="42">
        <f t="shared" si="2"/>
        <v>0</v>
      </c>
      <c r="M14" s="47">
        <v>45807.0</v>
      </c>
      <c r="N14" s="7">
        <v>8430.0</v>
      </c>
      <c r="O14" s="7" t="s">
        <v>140</v>
      </c>
    </row>
    <row r="15">
      <c r="A15" s="60">
        <v>112.0</v>
      </c>
      <c r="B15" s="14" t="s">
        <v>66</v>
      </c>
      <c r="C15" s="61">
        <v>600.0</v>
      </c>
      <c r="D15" s="60">
        <v>1.0</v>
      </c>
      <c r="E15" s="15"/>
      <c r="F15" s="15"/>
      <c r="G15" s="14" t="s">
        <v>8</v>
      </c>
      <c r="H15" s="15"/>
      <c r="I15" s="14" t="s">
        <v>253</v>
      </c>
      <c r="J15" s="61">
        <v>600.0</v>
      </c>
      <c r="K15" s="61">
        <v>300.0</v>
      </c>
      <c r="L15" s="61">
        <f t="shared" si="2"/>
        <v>300</v>
      </c>
      <c r="M15" s="64">
        <v>45804.0</v>
      </c>
      <c r="N15" s="14">
        <v>8419.0</v>
      </c>
      <c r="O15" s="14" t="s">
        <v>140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>
      <c r="A16" s="8">
        <v>113.0</v>
      </c>
      <c r="B16" s="7" t="s">
        <v>21</v>
      </c>
      <c r="C16" s="42">
        <v>600.0</v>
      </c>
      <c r="D16" s="8">
        <v>1.0</v>
      </c>
      <c r="G16" s="7" t="s">
        <v>8</v>
      </c>
      <c r="I16" s="7" t="s">
        <v>253</v>
      </c>
      <c r="J16" s="42">
        <v>600.0</v>
      </c>
      <c r="K16" s="42">
        <v>600.0</v>
      </c>
      <c r="L16" s="42">
        <f t="shared" si="2"/>
        <v>0</v>
      </c>
      <c r="M16" s="49">
        <v>45807.0</v>
      </c>
      <c r="N16" s="7">
        <v>8426.0</v>
      </c>
      <c r="O16" s="7" t="s">
        <v>341</v>
      </c>
    </row>
    <row r="17">
      <c r="A17" s="8">
        <v>114.0</v>
      </c>
      <c r="B17" s="7" t="s">
        <v>342</v>
      </c>
      <c r="C17" s="42">
        <v>600.0</v>
      </c>
      <c r="D17" s="8">
        <v>4.0</v>
      </c>
      <c r="G17" s="7" t="s">
        <v>8</v>
      </c>
      <c r="I17" s="7" t="s">
        <v>253</v>
      </c>
      <c r="J17" s="42">
        <v>600.0</v>
      </c>
      <c r="K17" s="42">
        <v>600.0</v>
      </c>
      <c r="L17" s="42">
        <f t="shared" si="2"/>
        <v>0</v>
      </c>
      <c r="M17" s="10">
        <v>45807.0</v>
      </c>
      <c r="N17" s="7">
        <v>8428.0</v>
      </c>
      <c r="O17" s="7" t="s">
        <v>140</v>
      </c>
      <c r="Q17" s="47">
        <v>45820.0</v>
      </c>
      <c r="R17" s="7">
        <v>8451.0</v>
      </c>
      <c r="S17" s="47">
        <v>45828.0</v>
      </c>
      <c r="T17" s="7">
        <v>8469.0</v>
      </c>
      <c r="U17" s="47">
        <v>45835.0</v>
      </c>
      <c r="V17" s="7">
        <v>8479.0</v>
      </c>
    </row>
    <row r="18">
      <c r="A18" s="8">
        <v>215.0</v>
      </c>
      <c r="B18" s="7" t="s">
        <v>71</v>
      </c>
      <c r="C18" s="42">
        <v>600.0</v>
      </c>
      <c r="D18" s="8">
        <v>2.0</v>
      </c>
      <c r="G18" s="7" t="s">
        <v>8</v>
      </c>
      <c r="I18" s="7" t="s">
        <v>266</v>
      </c>
      <c r="J18" s="42">
        <v>600.0</v>
      </c>
      <c r="K18" s="42">
        <v>600.0</v>
      </c>
      <c r="L18" s="42">
        <f t="shared" si="2"/>
        <v>0</v>
      </c>
      <c r="M18" s="47">
        <v>45806.0</v>
      </c>
      <c r="N18" s="7">
        <v>8423.0</v>
      </c>
      <c r="O18" s="7" t="s">
        <v>343</v>
      </c>
      <c r="Q18" s="47">
        <v>45820.0</v>
      </c>
      <c r="R18" s="7">
        <v>8451.0</v>
      </c>
    </row>
    <row r="19">
      <c r="A19" s="8">
        <v>216.0</v>
      </c>
      <c r="B19" s="7" t="s">
        <v>22</v>
      </c>
      <c r="C19" s="42">
        <v>640.0</v>
      </c>
      <c r="D19" s="8">
        <v>4.0</v>
      </c>
      <c r="G19" s="7" t="s">
        <v>8</v>
      </c>
      <c r="I19" s="7" t="s">
        <v>249</v>
      </c>
      <c r="J19" s="42">
        <v>600.0</v>
      </c>
      <c r="K19" s="42">
        <v>600.0</v>
      </c>
      <c r="L19" s="42">
        <f t="shared" si="2"/>
        <v>0</v>
      </c>
      <c r="M19" s="47">
        <v>45807.0</v>
      </c>
      <c r="N19" s="7">
        <v>8425.0</v>
      </c>
      <c r="O19" s="7" t="s">
        <v>140</v>
      </c>
      <c r="Q19" s="47">
        <v>45814.0</v>
      </c>
      <c r="R19" s="7">
        <v>8447.0</v>
      </c>
      <c r="S19" s="47">
        <v>45821.0</v>
      </c>
      <c r="T19" s="7">
        <v>8458.0</v>
      </c>
      <c r="U19" s="47">
        <v>45828.0</v>
      </c>
      <c r="V19" s="7">
        <v>8467.0</v>
      </c>
    </row>
    <row r="20">
      <c r="A20" s="8">
        <v>217.0</v>
      </c>
      <c r="B20" s="7" t="s">
        <v>344</v>
      </c>
      <c r="C20" s="42">
        <v>640.0</v>
      </c>
      <c r="D20" s="8"/>
      <c r="G20" s="7" t="s">
        <v>8</v>
      </c>
      <c r="I20" s="7" t="s">
        <v>249</v>
      </c>
      <c r="J20" s="42">
        <v>150.0</v>
      </c>
      <c r="K20" s="42">
        <v>150.0</v>
      </c>
      <c r="L20" s="42">
        <f>J20-K20</f>
        <v>0</v>
      </c>
      <c r="M20" s="10"/>
    </row>
    <row r="21">
      <c r="A21" s="60">
        <v>218.0</v>
      </c>
      <c r="B21" s="14" t="s">
        <v>77</v>
      </c>
      <c r="C21" s="61">
        <v>640.0</v>
      </c>
      <c r="D21" s="60"/>
      <c r="E21" s="15"/>
      <c r="F21" s="14">
        <v>2.0</v>
      </c>
      <c r="G21" s="14" t="s">
        <v>8</v>
      </c>
      <c r="H21" s="15"/>
      <c r="I21" s="14" t="s">
        <v>253</v>
      </c>
      <c r="J21" s="61">
        <v>640.0</v>
      </c>
      <c r="K21" s="61">
        <v>150.0</v>
      </c>
      <c r="L21" s="61">
        <f t="shared" ref="L21:L33" si="3">SUM(J21-K21)</f>
        <v>490</v>
      </c>
      <c r="M21" s="71"/>
      <c r="N21" s="15"/>
      <c r="O21" s="15"/>
      <c r="P21" s="14" t="s">
        <v>81</v>
      </c>
      <c r="Q21" s="6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>
      <c r="A22" s="8">
        <v>219.0</v>
      </c>
      <c r="B22" s="7" t="s">
        <v>82</v>
      </c>
      <c r="C22" s="42">
        <v>640.0</v>
      </c>
      <c r="D22" s="8">
        <v>2.0</v>
      </c>
      <c r="G22" s="7" t="s">
        <v>8</v>
      </c>
      <c r="I22" s="7" t="s">
        <v>266</v>
      </c>
      <c r="J22" s="42">
        <v>640.0</v>
      </c>
      <c r="K22" s="42">
        <v>640.0</v>
      </c>
      <c r="L22" s="42">
        <f t="shared" si="3"/>
        <v>0</v>
      </c>
      <c r="M22" s="47">
        <v>45800.0</v>
      </c>
      <c r="N22" s="7">
        <v>8417.0</v>
      </c>
      <c r="O22" s="7" t="s">
        <v>80</v>
      </c>
      <c r="Q22" s="47">
        <v>45814.0</v>
      </c>
      <c r="R22" s="7">
        <v>8444.0</v>
      </c>
    </row>
    <row r="23">
      <c r="A23" s="8">
        <v>220.0</v>
      </c>
      <c r="B23" s="7" t="s">
        <v>345</v>
      </c>
      <c r="C23" s="42">
        <v>650.0</v>
      </c>
      <c r="D23" s="8">
        <v>1.0</v>
      </c>
      <c r="G23" s="7" t="s">
        <v>8</v>
      </c>
      <c r="I23" s="7" t="s">
        <v>253</v>
      </c>
      <c r="J23" s="42">
        <v>650.0</v>
      </c>
      <c r="K23" s="42">
        <v>500.0</v>
      </c>
      <c r="L23" s="42">
        <f t="shared" si="3"/>
        <v>150</v>
      </c>
      <c r="M23" s="47">
        <v>45814.0</v>
      </c>
      <c r="N23" s="7">
        <v>8448.0</v>
      </c>
      <c r="O23" s="7" t="s">
        <v>140</v>
      </c>
    </row>
    <row r="24">
      <c r="A24" s="8">
        <v>221.0</v>
      </c>
      <c r="B24" s="7" t="s">
        <v>25</v>
      </c>
      <c r="C24" s="42">
        <v>650.0</v>
      </c>
      <c r="D24" s="8">
        <v>2.0</v>
      </c>
      <c r="G24" s="7" t="s">
        <v>8</v>
      </c>
      <c r="I24" s="7" t="s">
        <v>253</v>
      </c>
      <c r="J24" s="42">
        <v>650.0</v>
      </c>
      <c r="K24" s="42">
        <v>650.0</v>
      </c>
      <c r="L24" s="42">
        <f t="shared" si="3"/>
        <v>0</v>
      </c>
      <c r="M24" s="10">
        <v>45807.0</v>
      </c>
      <c r="N24" s="7">
        <v>8422.0</v>
      </c>
      <c r="O24" s="7" t="s">
        <v>140</v>
      </c>
      <c r="Q24" s="47">
        <v>45811.0</v>
      </c>
      <c r="R24" s="7">
        <v>8435.0</v>
      </c>
    </row>
    <row r="25">
      <c r="A25" s="66">
        <v>222.0</v>
      </c>
      <c r="B25" s="67"/>
      <c r="C25" s="68">
        <v>640.0</v>
      </c>
      <c r="D25" s="69"/>
      <c r="E25" s="72"/>
      <c r="F25" s="69"/>
      <c r="G25" s="67" t="s">
        <v>11</v>
      </c>
      <c r="H25" s="69"/>
      <c r="I25" s="67" t="s">
        <v>266</v>
      </c>
      <c r="J25" s="68"/>
      <c r="K25" s="68"/>
      <c r="L25" s="68">
        <f t="shared" si="3"/>
        <v>0</v>
      </c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</row>
    <row r="26">
      <c r="A26" s="8">
        <v>223.0</v>
      </c>
      <c r="C26" s="42">
        <v>640.0</v>
      </c>
      <c r="G26" s="7" t="s">
        <v>11</v>
      </c>
      <c r="J26" s="43"/>
      <c r="K26" s="43"/>
      <c r="L26" s="42">
        <f t="shared" si="3"/>
        <v>0</v>
      </c>
    </row>
    <row r="27">
      <c r="A27" s="8">
        <v>224.0</v>
      </c>
      <c r="C27" s="42">
        <v>640.0</v>
      </c>
      <c r="G27" s="7" t="s">
        <v>11</v>
      </c>
      <c r="I27" s="48"/>
      <c r="J27" s="43"/>
      <c r="K27" s="43"/>
      <c r="L27" s="42">
        <f t="shared" si="3"/>
        <v>0</v>
      </c>
    </row>
    <row r="28">
      <c r="A28" s="8">
        <v>225.0</v>
      </c>
      <c r="B28" s="7" t="s">
        <v>93</v>
      </c>
      <c r="C28" s="42">
        <v>600.0</v>
      </c>
      <c r="D28" s="8">
        <v>4.0</v>
      </c>
      <c r="G28" s="7" t="s">
        <v>8</v>
      </c>
      <c r="I28" s="7" t="s">
        <v>249</v>
      </c>
      <c r="J28" s="42">
        <v>600.0</v>
      </c>
      <c r="K28" s="58">
        <v>600.0</v>
      </c>
      <c r="L28" s="42">
        <f t="shared" si="3"/>
        <v>0</v>
      </c>
      <c r="M28" s="49">
        <v>45806.0</v>
      </c>
      <c r="N28" s="7">
        <v>8420.0</v>
      </c>
      <c r="O28" s="7" t="s">
        <v>80</v>
      </c>
      <c r="Q28" s="47">
        <v>45814.0</v>
      </c>
      <c r="R28" s="7">
        <v>8441.0</v>
      </c>
      <c r="S28" s="49">
        <v>43995.0</v>
      </c>
      <c r="T28" s="7">
        <v>8455.0</v>
      </c>
      <c r="U28" s="47">
        <v>45828.0</v>
      </c>
      <c r="V28" s="7">
        <v>8465.0</v>
      </c>
    </row>
    <row r="29">
      <c r="A29" s="60">
        <v>226.0</v>
      </c>
      <c r="B29" s="14" t="s">
        <v>346</v>
      </c>
      <c r="C29" s="61">
        <v>600.0</v>
      </c>
      <c r="D29" s="60">
        <v>2.0</v>
      </c>
      <c r="E29" s="15"/>
      <c r="F29" s="15"/>
      <c r="G29" s="14" t="s">
        <v>8</v>
      </c>
      <c r="H29" s="15"/>
      <c r="I29" s="14" t="s">
        <v>253</v>
      </c>
      <c r="J29" s="61">
        <v>600.0</v>
      </c>
      <c r="K29" s="62">
        <v>405.0</v>
      </c>
      <c r="L29" s="61">
        <f t="shared" si="3"/>
        <v>195</v>
      </c>
      <c r="M29" s="39">
        <v>45820.0</v>
      </c>
      <c r="N29" s="14">
        <v>8452.0</v>
      </c>
      <c r="O29" s="14" t="s">
        <v>140</v>
      </c>
      <c r="P29" s="15"/>
      <c r="Q29" s="64">
        <v>45824.0</v>
      </c>
      <c r="R29" s="14">
        <v>8461.0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8">
        <v>227.0</v>
      </c>
      <c r="B30" s="7" t="s">
        <v>101</v>
      </c>
      <c r="C30" s="42">
        <v>600.0</v>
      </c>
      <c r="D30" s="8">
        <v>1.0</v>
      </c>
      <c r="G30" s="7" t="s">
        <v>8</v>
      </c>
      <c r="I30" s="7" t="s">
        <v>253</v>
      </c>
      <c r="J30" s="42">
        <v>600.0</v>
      </c>
      <c r="K30" s="59">
        <v>600.0</v>
      </c>
      <c r="L30" s="42">
        <f t="shared" si="3"/>
        <v>0</v>
      </c>
      <c r="M30" s="10">
        <v>45812.0</v>
      </c>
      <c r="N30" s="7">
        <v>8439.0</v>
      </c>
      <c r="O30" s="7" t="s">
        <v>140</v>
      </c>
    </row>
    <row r="31">
      <c r="A31" s="8">
        <v>228.0</v>
      </c>
      <c r="B31" s="7" t="s">
        <v>29</v>
      </c>
      <c r="C31" s="42">
        <v>600.0</v>
      </c>
      <c r="D31" s="8">
        <v>2.0</v>
      </c>
      <c r="G31" s="7" t="s">
        <v>8</v>
      </c>
      <c r="I31" s="7" t="s">
        <v>266</v>
      </c>
      <c r="J31" s="42">
        <v>600.0</v>
      </c>
      <c r="K31" s="58">
        <v>600.0</v>
      </c>
      <c r="L31" s="42">
        <f t="shared" si="3"/>
        <v>0</v>
      </c>
      <c r="M31" s="47">
        <v>45807.0</v>
      </c>
      <c r="N31" s="7">
        <v>8431.0</v>
      </c>
      <c r="O31" s="7" t="s">
        <v>341</v>
      </c>
      <c r="Q31" s="7">
        <v>6.0</v>
      </c>
    </row>
    <row r="32">
      <c r="A32" s="66">
        <v>229.0</v>
      </c>
      <c r="B32" s="67"/>
      <c r="C32" s="68">
        <v>600.0</v>
      </c>
      <c r="D32" s="66"/>
      <c r="E32" s="69"/>
      <c r="F32" s="69"/>
      <c r="G32" s="67" t="s">
        <v>11</v>
      </c>
      <c r="H32" s="69"/>
      <c r="I32" s="67" t="s">
        <v>249</v>
      </c>
      <c r="J32" s="68"/>
      <c r="K32" s="73"/>
      <c r="L32" s="68">
        <f t="shared" si="3"/>
        <v>0</v>
      </c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</row>
    <row r="33">
      <c r="A33" s="8">
        <v>230.0</v>
      </c>
      <c r="B33" s="7" t="s">
        <v>107</v>
      </c>
      <c r="C33" s="42">
        <v>600.0</v>
      </c>
      <c r="D33" s="8">
        <v>4.0</v>
      </c>
      <c r="G33" s="7" t="s">
        <v>8</v>
      </c>
      <c r="I33" s="7" t="s">
        <v>249</v>
      </c>
      <c r="J33" s="42">
        <v>600.0</v>
      </c>
      <c r="K33" s="58">
        <v>600.0</v>
      </c>
      <c r="L33" s="42">
        <f t="shared" si="3"/>
        <v>0</v>
      </c>
      <c r="M33" s="47">
        <v>45807.0</v>
      </c>
      <c r="N33" s="7">
        <v>8427.0</v>
      </c>
      <c r="O33" s="7" t="s">
        <v>140</v>
      </c>
      <c r="Q33" s="47">
        <v>45814.0</v>
      </c>
      <c r="R33" s="7">
        <v>8443.0</v>
      </c>
      <c r="S33" s="47">
        <v>45821.0</v>
      </c>
      <c r="T33" s="7">
        <v>8454.0</v>
      </c>
      <c r="U33" s="47">
        <v>45828.0</v>
      </c>
      <c r="V33" s="7">
        <v>8466.0</v>
      </c>
    </row>
    <row r="35">
      <c r="A35" s="12" t="s">
        <v>197</v>
      </c>
      <c r="B35" s="17"/>
      <c r="C35" s="63">
        <f>SUM(C2:C33)</f>
        <v>20010</v>
      </c>
      <c r="D35" s="17"/>
      <c r="E35" s="17"/>
      <c r="F35" s="17"/>
      <c r="G35" s="17">
        <f t="array" ref="G35">COUNTIF(G2:G33,"y")</f>
        <v>25</v>
      </c>
      <c r="H35" s="17"/>
      <c r="I35" s="17"/>
      <c r="J35" s="63">
        <f t="shared" ref="J35:L35" si="4">SUM(J2:J33)</f>
        <v>14440</v>
      </c>
      <c r="K35" s="63">
        <f t="shared" si="4"/>
        <v>12205</v>
      </c>
      <c r="L35" s="63">
        <f t="shared" si="4"/>
        <v>2235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8">
      <c r="A38" s="18" t="s">
        <v>34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</row>
    <row r="39">
      <c r="A39" s="20" t="s">
        <v>198</v>
      </c>
      <c r="B39" s="20" t="s">
        <v>121</v>
      </c>
      <c r="C39" s="21"/>
      <c r="D39" s="20" t="s">
        <v>199</v>
      </c>
      <c r="E39" s="20">
        <v>1.0</v>
      </c>
      <c r="F39" s="20">
        <v>2.0</v>
      </c>
      <c r="G39" s="20">
        <v>3.0</v>
      </c>
      <c r="H39" s="20">
        <v>4.0</v>
      </c>
      <c r="I39" s="20"/>
      <c r="J39" s="20">
        <v>5.0</v>
      </c>
      <c r="K39" s="20">
        <v>6.0</v>
      </c>
      <c r="L39" s="20">
        <v>7.0</v>
      </c>
      <c r="M39" s="20">
        <v>8.0</v>
      </c>
      <c r="N39" s="20">
        <v>9.0</v>
      </c>
      <c r="O39" s="22" t="s">
        <v>200</v>
      </c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>
      <c r="A40" s="7" t="s">
        <v>122</v>
      </c>
      <c r="B40" s="42">
        <f>O48</f>
        <v>2050</v>
      </c>
      <c r="D40" s="7" t="s">
        <v>61</v>
      </c>
      <c r="E40" s="7">
        <v>250.0</v>
      </c>
      <c r="F40" s="7">
        <v>250.0</v>
      </c>
      <c r="G40" s="7">
        <v>250.0</v>
      </c>
      <c r="H40" s="7">
        <v>250.0</v>
      </c>
      <c r="O40" s="17">
        <f t="shared" ref="O40:O47" si="5">SUM(E40:N40)</f>
        <v>1000</v>
      </c>
    </row>
    <row r="41">
      <c r="A41" s="7" t="s">
        <v>123</v>
      </c>
      <c r="B41" s="42">
        <v>0.0</v>
      </c>
      <c r="D41" s="7" t="s">
        <v>201</v>
      </c>
      <c r="E41" s="7">
        <v>200.0</v>
      </c>
      <c r="F41" s="7">
        <v>200.0</v>
      </c>
      <c r="G41" s="7">
        <v>200.0</v>
      </c>
      <c r="H41" s="7">
        <v>200.0</v>
      </c>
      <c r="O41" s="17">
        <f t="shared" si="5"/>
        <v>800</v>
      </c>
    </row>
    <row r="42">
      <c r="A42" s="7" t="s">
        <v>124</v>
      </c>
      <c r="B42" s="42">
        <v>876.0</v>
      </c>
      <c r="D42" s="7" t="s">
        <v>205</v>
      </c>
      <c r="E42" s="7"/>
      <c r="O42" s="17">
        <f t="shared" si="5"/>
        <v>0</v>
      </c>
    </row>
    <row r="43">
      <c r="A43" s="7" t="s">
        <v>125</v>
      </c>
      <c r="B43" s="42">
        <v>385.0</v>
      </c>
      <c r="D43" s="7" t="s">
        <v>203</v>
      </c>
      <c r="O43" s="17">
        <f t="shared" si="5"/>
        <v>0</v>
      </c>
    </row>
    <row r="44">
      <c r="A44" s="7" t="s">
        <v>126</v>
      </c>
      <c r="B44" s="42">
        <v>280.0</v>
      </c>
      <c r="D44" s="7" t="s">
        <v>204</v>
      </c>
      <c r="O44" s="17">
        <f t="shared" si="5"/>
        <v>0</v>
      </c>
    </row>
    <row r="45">
      <c r="A45" s="7" t="s">
        <v>128</v>
      </c>
      <c r="B45" s="42">
        <v>795.0</v>
      </c>
      <c r="D45" s="7" t="s">
        <v>297</v>
      </c>
      <c r="E45" s="7">
        <v>250.0</v>
      </c>
      <c r="O45" s="17">
        <f t="shared" si="5"/>
        <v>250</v>
      </c>
    </row>
    <row r="46">
      <c r="A46" s="7" t="s">
        <v>129</v>
      </c>
      <c r="B46" s="42">
        <v>1000.0</v>
      </c>
      <c r="D46" s="7"/>
      <c r="O46" s="17">
        <f t="shared" si="5"/>
        <v>0</v>
      </c>
    </row>
    <row r="47">
      <c r="A47" s="7" t="s">
        <v>207</v>
      </c>
      <c r="B47" s="42">
        <v>828.78</v>
      </c>
      <c r="D47" s="7"/>
      <c r="E47" s="7"/>
      <c r="F47" s="7"/>
      <c r="G47" s="7"/>
      <c r="H47" s="7"/>
      <c r="J47" s="7"/>
      <c r="K47" s="7"/>
      <c r="O47" s="17">
        <f t="shared" si="5"/>
        <v>0</v>
      </c>
    </row>
    <row r="48">
      <c r="A48" s="7" t="s">
        <v>208</v>
      </c>
      <c r="B48" s="43">
        <f>E79</f>
        <v>1065</v>
      </c>
      <c r="O48" s="17">
        <f>SUM(O40:O47)</f>
        <v>2050</v>
      </c>
    </row>
    <row r="49">
      <c r="B49" s="43"/>
    </row>
    <row r="50">
      <c r="A50" s="7" t="s">
        <v>200</v>
      </c>
      <c r="B50" s="43">
        <f>SUM(B40:B48)</f>
        <v>7279.78</v>
      </c>
    </row>
    <row r="51">
      <c r="A51" s="17"/>
      <c r="B51" s="17"/>
      <c r="C51" s="17"/>
      <c r="D51" s="22" t="s">
        <v>209</v>
      </c>
      <c r="E51" s="22" t="s">
        <v>121</v>
      </c>
      <c r="F51" s="22" t="s">
        <v>210</v>
      </c>
      <c r="G51" s="22" t="s">
        <v>211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>
      <c r="B52" s="7" t="s">
        <v>347</v>
      </c>
      <c r="C52" s="7" t="s">
        <v>348</v>
      </c>
    </row>
    <row r="53">
      <c r="A53" s="7" t="s">
        <v>214</v>
      </c>
      <c r="B53" s="42">
        <f t="shared" ref="B53:C53" si="6">J35</f>
        <v>14440</v>
      </c>
      <c r="C53" s="42">
        <f t="shared" si="6"/>
        <v>12205</v>
      </c>
      <c r="E53" s="42">
        <v>348.0</v>
      </c>
      <c r="F53" s="7" t="s">
        <v>224</v>
      </c>
      <c r="G53" s="7" t="s">
        <v>349</v>
      </c>
    </row>
    <row r="54">
      <c r="A54" s="7" t="s">
        <v>217</v>
      </c>
      <c r="B54" s="43">
        <f>B50</f>
        <v>7279.78</v>
      </c>
      <c r="C54" s="43">
        <f>B50</f>
        <v>7279.78</v>
      </c>
      <c r="E54" s="42">
        <v>717.0</v>
      </c>
      <c r="F54" s="7" t="s">
        <v>350</v>
      </c>
      <c r="G54" s="7" t="s">
        <v>351</v>
      </c>
    </row>
    <row r="55">
      <c r="E55" s="42"/>
      <c r="F55" s="7"/>
    </row>
    <row r="56">
      <c r="A56" s="44" t="s">
        <v>221</v>
      </c>
      <c r="B56" s="74">
        <f>B53-B54</f>
        <v>7160.22</v>
      </c>
      <c r="C56" s="74">
        <f>SUM(C53-C54)</f>
        <v>4925.22</v>
      </c>
      <c r="D56" s="75"/>
      <c r="E56" s="43"/>
    </row>
    <row r="57">
      <c r="E57" s="43"/>
    </row>
    <row r="58">
      <c r="E58" s="43"/>
    </row>
    <row r="59">
      <c r="E59" s="43"/>
    </row>
    <row r="60">
      <c r="E60" s="43"/>
    </row>
    <row r="61">
      <c r="E61" s="43"/>
    </row>
    <row r="62">
      <c r="E62" s="43"/>
    </row>
    <row r="63">
      <c r="E63" s="43"/>
    </row>
    <row r="64">
      <c r="E64" s="42"/>
    </row>
    <row r="65">
      <c r="E65" s="42"/>
    </row>
    <row r="66">
      <c r="E66" s="42"/>
    </row>
    <row r="67">
      <c r="E67" s="43"/>
    </row>
    <row r="68">
      <c r="E68" s="43"/>
    </row>
    <row r="69">
      <c r="E69" s="43"/>
    </row>
    <row r="70">
      <c r="E70" s="43"/>
    </row>
    <row r="71">
      <c r="E71" s="43"/>
    </row>
    <row r="72">
      <c r="E72" s="43"/>
    </row>
    <row r="73">
      <c r="E73" s="43"/>
    </row>
    <row r="74">
      <c r="E74" s="43"/>
    </row>
    <row r="75">
      <c r="E75" s="43"/>
    </row>
    <row r="76">
      <c r="E76" s="43"/>
    </row>
    <row r="77">
      <c r="D77" s="7"/>
      <c r="E77" s="43"/>
    </row>
    <row r="78">
      <c r="D78" s="7"/>
      <c r="E78" s="43"/>
    </row>
    <row r="79">
      <c r="D79" s="7" t="s">
        <v>200</v>
      </c>
      <c r="E79" s="43">
        <f>SUM(E52:E75)</f>
        <v>1065</v>
      </c>
    </row>
  </sheetData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26.13"/>
    <col customWidth="1" min="4" max="4" width="8.75"/>
    <col customWidth="1" min="5" max="5" width="10.25"/>
    <col customWidth="1" min="6" max="6" width="11.88"/>
    <col customWidth="1" min="7" max="7" width="10.13"/>
    <col customWidth="1" min="8" max="8" width="26.88"/>
    <col customWidth="1" min="9" max="9" width="12.0"/>
    <col customWidth="1" min="10" max="10" width="10.25"/>
    <col customWidth="1" min="11" max="11" width="9.38"/>
    <col customWidth="1" min="12" max="12" width="19.25"/>
    <col customWidth="1" min="13" max="13" width="15.63"/>
    <col customWidth="1" min="14" max="14" width="17.88"/>
    <col customWidth="1" min="15" max="15" width="19.0"/>
    <col customWidth="1" min="18" max="18" width="19.38"/>
    <col customWidth="1" min="19" max="19" width="17.25"/>
  </cols>
  <sheetData>
    <row r="1">
      <c r="A1" s="44" t="s">
        <v>36</v>
      </c>
      <c r="B1" s="44" t="s">
        <v>37</v>
      </c>
      <c r="C1" s="44" t="s">
        <v>2</v>
      </c>
      <c r="D1" s="44" t="s">
        <v>38</v>
      </c>
      <c r="E1" s="44" t="s">
        <v>39</v>
      </c>
      <c r="F1" s="44" t="s">
        <v>40</v>
      </c>
      <c r="G1" s="44" t="s">
        <v>3</v>
      </c>
      <c r="H1" s="44" t="s">
        <v>7</v>
      </c>
      <c r="I1" s="44" t="s">
        <v>246</v>
      </c>
      <c r="J1" s="44" t="s">
        <v>41</v>
      </c>
      <c r="K1" s="44" t="s">
        <v>42</v>
      </c>
      <c r="L1" s="44" t="s">
        <v>43</v>
      </c>
      <c r="M1" s="44" t="s">
        <v>44</v>
      </c>
      <c r="N1" s="44" t="s">
        <v>45</v>
      </c>
      <c r="O1" s="44" t="s">
        <v>46</v>
      </c>
      <c r="P1" s="44" t="s">
        <v>47</v>
      </c>
      <c r="Q1" s="44" t="s">
        <v>247</v>
      </c>
      <c r="R1" s="12" t="s">
        <v>333</v>
      </c>
      <c r="S1" s="12" t="s">
        <v>334</v>
      </c>
      <c r="T1" s="12" t="s">
        <v>335</v>
      </c>
      <c r="U1" s="12" t="s">
        <v>336</v>
      </c>
      <c r="V1" s="12" t="s">
        <v>337</v>
      </c>
      <c r="W1" s="13"/>
      <c r="X1" s="13"/>
      <c r="Y1" s="13"/>
      <c r="Z1" s="13"/>
      <c r="AA1" s="13"/>
      <c r="AB1" s="13"/>
    </row>
    <row r="2">
      <c r="A2" s="8">
        <v>100.0</v>
      </c>
      <c r="B2" s="7" t="s">
        <v>352</v>
      </c>
      <c r="C2" s="42">
        <v>640.0</v>
      </c>
      <c r="D2" s="8">
        <v>2.0</v>
      </c>
      <c r="E2" s="43"/>
      <c r="G2" s="7" t="s">
        <v>8</v>
      </c>
      <c r="I2" s="7" t="s">
        <v>249</v>
      </c>
      <c r="J2" s="42">
        <f>Sum(C2+E2)</f>
        <v>640</v>
      </c>
      <c r="K2" s="42">
        <v>640.0</v>
      </c>
      <c r="L2" s="42">
        <f t="shared" ref="L2:L6" si="1">SUM(J2-K2)</f>
        <v>0</v>
      </c>
      <c r="M2" s="47">
        <v>45835.0</v>
      </c>
      <c r="N2" s="7">
        <v>8478.0</v>
      </c>
      <c r="O2" s="7" t="s">
        <v>353</v>
      </c>
      <c r="Q2" s="47">
        <v>45855.0</v>
      </c>
      <c r="R2" s="7">
        <v>8510.0</v>
      </c>
      <c r="S2" s="47"/>
      <c r="U2" s="47"/>
    </row>
    <row r="3">
      <c r="A3" s="8">
        <v>101.0</v>
      </c>
      <c r="B3" s="7" t="s">
        <v>10</v>
      </c>
      <c r="C3" s="42">
        <v>640.0</v>
      </c>
      <c r="D3" s="8">
        <v>1.0</v>
      </c>
      <c r="E3" s="43"/>
      <c r="G3" s="7" t="s">
        <v>8</v>
      </c>
      <c r="I3" s="7" t="s">
        <v>253</v>
      </c>
      <c r="J3" s="42">
        <f>sum(C3+E3)</f>
        <v>640</v>
      </c>
      <c r="K3" s="42">
        <v>640.0</v>
      </c>
      <c r="L3" s="42">
        <f t="shared" si="1"/>
        <v>0</v>
      </c>
      <c r="M3" s="10">
        <v>45840.0</v>
      </c>
      <c r="N3" s="7">
        <v>8483.0</v>
      </c>
      <c r="O3" s="7" t="s">
        <v>69</v>
      </c>
    </row>
    <row r="4">
      <c r="A4" s="66">
        <v>102.0</v>
      </c>
      <c r="B4" s="67"/>
      <c r="C4" s="68">
        <v>700.0</v>
      </c>
      <c r="D4" s="66"/>
      <c r="E4" s="68"/>
      <c r="F4" s="69"/>
      <c r="G4" s="67" t="s">
        <v>11</v>
      </c>
      <c r="H4" s="69"/>
      <c r="I4" s="67"/>
      <c r="J4" s="68"/>
      <c r="K4" s="68"/>
      <c r="L4" s="68">
        <f t="shared" si="1"/>
        <v>0</v>
      </c>
      <c r="M4" s="76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</row>
    <row r="5">
      <c r="A5" s="8">
        <v>103.0</v>
      </c>
      <c r="B5" s="7" t="s">
        <v>13</v>
      </c>
      <c r="C5" s="42">
        <v>640.0</v>
      </c>
      <c r="D5" s="8">
        <v>2.0</v>
      </c>
      <c r="E5" s="43"/>
      <c r="G5" s="7" t="s">
        <v>8</v>
      </c>
      <c r="I5" s="7" t="s">
        <v>253</v>
      </c>
      <c r="J5" s="42">
        <f>Sum(C5+E5)</f>
        <v>640</v>
      </c>
      <c r="K5" s="42">
        <v>640.0</v>
      </c>
      <c r="L5" s="42">
        <f t="shared" si="1"/>
        <v>0</v>
      </c>
      <c r="M5" s="47">
        <v>45841.0</v>
      </c>
      <c r="N5" s="7">
        <v>8490.0</v>
      </c>
      <c r="O5" s="7" t="s">
        <v>140</v>
      </c>
      <c r="Q5" s="47">
        <v>45853.0</v>
      </c>
      <c r="R5" s="7">
        <v>8509.0</v>
      </c>
      <c r="S5" s="47"/>
    </row>
    <row r="6">
      <c r="A6" s="60">
        <v>104.0</v>
      </c>
      <c r="B6" s="14" t="s">
        <v>141</v>
      </c>
      <c r="C6" s="61">
        <v>650.0</v>
      </c>
      <c r="D6" s="60"/>
      <c r="E6" s="61">
        <v>0.0</v>
      </c>
      <c r="F6" s="14">
        <v>1.0</v>
      </c>
      <c r="G6" s="14" t="s">
        <v>8</v>
      </c>
      <c r="H6" s="15"/>
      <c r="I6" s="14" t="s">
        <v>249</v>
      </c>
      <c r="J6" s="61">
        <v>750.0</v>
      </c>
      <c r="K6" s="61">
        <v>100.0</v>
      </c>
      <c r="L6" s="61">
        <f t="shared" si="1"/>
        <v>650</v>
      </c>
      <c r="M6" s="64">
        <v>45847.0</v>
      </c>
      <c r="N6" s="14">
        <v>8498.0</v>
      </c>
      <c r="O6" s="14"/>
      <c r="P6" s="14"/>
      <c r="Q6" s="6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>
      <c r="A7" s="8">
        <v>105.0</v>
      </c>
      <c r="B7" s="7" t="s">
        <v>146</v>
      </c>
      <c r="C7" s="42">
        <v>640.0</v>
      </c>
      <c r="D7" s="8">
        <v>1.0</v>
      </c>
      <c r="E7" s="43"/>
      <c r="G7" s="7" t="s">
        <v>8</v>
      </c>
      <c r="I7" s="7" t="s">
        <v>249</v>
      </c>
      <c r="J7" s="42">
        <f>sum(C7+E7)</f>
        <v>640</v>
      </c>
      <c r="K7" s="42">
        <v>200.0</v>
      </c>
      <c r="L7" s="42">
        <v>440.0</v>
      </c>
      <c r="M7" s="47">
        <v>45859.0</v>
      </c>
      <c r="N7" s="7">
        <v>8517.0</v>
      </c>
      <c r="O7" s="7" t="s">
        <v>140</v>
      </c>
    </row>
    <row r="8">
      <c r="A8" s="77">
        <v>106.0</v>
      </c>
      <c r="B8" s="78" t="s">
        <v>338</v>
      </c>
      <c r="C8" s="79">
        <v>640.0</v>
      </c>
      <c r="D8" s="80"/>
      <c r="E8" s="81"/>
      <c r="F8" s="80"/>
      <c r="G8" s="78" t="s">
        <v>8</v>
      </c>
      <c r="H8" s="80"/>
      <c r="I8" s="78" t="s">
        <v>249</v>
      </c>
      <c r="J8" s="79">
        <v>700.0</v>
      </c>
      <c r="K8" s="81"/>
      <c r="L8" s="79">
        <f t="shared" ref="L8:L10" si="2">SUM(J8-K8)</f>
        <v>700</v>
      </c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</row>
    <row r="9">
      <c r="A9" s="8">
        <v>107.0</v>
      </c>
      <c r="C9" s="42">
        <v>640.0</v>
      </c>
      <c r="E9" s="43"/>
      <c r="G9" s="7" t="s">
        <v>11</v>
      </c>
      <c r="J9" s="43"/>
      <c r="K9" s="43"/>
      <c r="L9" s="42">
        <f t="shared" si="2"/>
        <v>0</v>
      </c>
    </row>
    <row r="10">
      <c r="A10" s="8">
        <v>108.0</v>
      </c>
      <c r="C10" s="42">
        <v>640.0</v>
      </c>
      <c r="E10" s="43"/>
      <c r="G10" s="7" t="s">
        <v>11</v>
      </c>
      <c r="J10" s="43"/>
      <c r="K10" s="42"/>
      <c r="L10" s="42">
        <f t="shared" si="2"/>
        <v>0</v>
      </c>
      <c r="M10" s="10"/>
    </row>
    <row r="11">
      <c r="A11" s="8">
        <v>109.0</v>
      </c>
      <c r="B11" s="7" t="s">
        <v>339</v>
      </c>
      <c r="C11" s="42">
        <v>600.0</v>
      </c>
      <c r="D11" s="8">
        <v>4.0</v>
      </c>
      <c r="E11" s="43"/>
      <c r="G11" s="7" t="s">
        <v>8</v>
      </c>
      <c r="I11" s="7" t="s">
        <v>249</v>
      </c>
      <c r="J11" s="42">
        <v>600.0</v>
      </c>
      <c r="K11" s="42">
        <v>600.0</v>
      </c>
      <c r="L11" s="42">
        <f t="shared" ref="L11:L12" si="3">sum(J11-K11)</f>
        <v>0</v>
      </c>
      <c r="M11" s="47">
        <v>45835.0</v>
      </c>
      <c r="N11" s="7">
        <v>8472.0</v>
      </c>
      <c r="O11" s="7" t="s">
        <v>140</v>
      </c>
      <c r="Q11" s="47">
        <v>45841.0</v>
      </c>
      <c r="R11" s="7">
        <v>8489.0</v>
      </c>
      <c r="S11" s="47">
        <v>45848.0</v>
      </c>
      <c r="T11" s="7">
        <v>8500.0</v>
      </c>
      <c r="U11" s="47">
        <v>45855.0</v>
      </c>
      <c r="V11" s="7">
        <v>8512.0</v>
      </c>
    </row>
    <row r="12">
      <c r="A12" s="8">
        <v>109.0</v>
      </c>
      <c r="B12" s="7" t="s">
        <v>340</v>
      </c>
      <c r="C12" s="42">
        <v>600.0</v>
      </c>
      <c r="D12" s="8"/>
      <c r="E12" s="43"/>
      <c r="G12" s="7" t="s">
        <v>8</v>
      </c>
      <c r="I12" s="7" t="s">
        <v>249</v>
      </c>
      <c r="J12" s="42">
        <v>600.0</v>
      </c>
      <c r="K12" s="42"/>
      <c r="L12" s="42">
        <f t="shared" si="3"/>
        <v>600</v>
      </c>
      <c r="M12" s="47"/>
      <c r="Q12" s="47"/>
    </row>
    <row r="13">
      <c r="A13" s="8">
        <v>110.0</v>
      </c>
      <c r="B13" s="7" t="s">
        <v>62</v>
      </c>
      <c r="C13" s="42">
        <v>600.0</v>
      </c>
      <c r="D13" s="7">
        <v>1.0</v>
      </c>
      <c r="E13" s="43"/>
      <c r="G13" s="7" t="s">
        <v>8</v>
      </c>
      <c r="I13" s="7" t="s">
        <v>249</v>
      </c>
      <c r="J13" s="42">
        <v>600.0</v>
      </c>
      <c r="K13" s="42">
        <v>600.0</v>
      </c>
      <c r="L13" s="42">
        <f t="shared" ref="L13:L14" si="4">SUM(J13-K13)</f>
        <v>0</v>
      </c>
      <c r="M13" s="47">
        <v>45840.0</v>
      </c>
      <c r="N13" s="7">
        <v>8407.0</v>
      </c>
      <c r="O13" s="7" t="s">
        <v>140</v>
      </c>
    </row>
    <row r="14">
      <c r="A14" s="8">
        <v>111.0</v>
      </c>
      <c r="B14" s="7" t="s">
        <v>19</v>
      </c>
      <c r="C14" s="42">
        <v>600.0</v>
      </c>
      <c r="D14" s="8">
        <v>1.0</v>
      </c>
      <c r="E14" s="43"/>
      <c r="G14" s="7" t="s">
        <v>8</v>
      </c>
      <c r="I14" s="7" t="s">
        <v>266</v>
      </c>
      <c r="J14" s="42">
        <v>600.0</v>
      </c>
      <c r="K14" s="42">
        <v>600.0</v>
      </c>
      <c r="L14" s="42">
        <f t="shared" si="4"/>
        <v>0</v>
      </c>
      <c r="M14" s="47">
        <v>45840.0</v>
      </c>
      <c r="N14" s="7">
        <v>8486.0</v>
      </c>
      <c r="O14" s="7" t="s">
        <v>140</v>
      </c>
    </row>
    <row r="15">
      <c r="A15" s="82">
        <v>112.0</v>
      </c>
      <c r="B15" s="83"/>
      <c r="C15" s="84">
        <v>600.0</v>
      </c>
      <c r="D15" s="82">
        <v>1.0</v>
      </c>
      <c r="E15" s="84"/>
      <c r="F15" s="85"/>
      <c r="G15" s="83" t="s">
        <v>11</v>
      </c>
      <c r="H15" s="85"/>
      <c r="I15" s="83"/>
      <c r="J15" s="84">
        <f>sum(C15+E15)</f>
        <v>600</v>
      </c>
      <c r="K15" s="84"/>
      <c r="L15" s="84"/>
      <c r="M15" s="86"/>
      <c r="N15" s="83"/>
      <c r="O15" s="83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</row>
    <row r="16">
      <c r="A16" s="8">
        <v>113.0</v>
      </c>
      <c r="B16" s="7" t="s">
        <v>21</v>
      </c>
      <c r="C16" s="42">
        <v>600.0</v>
      </c>
      <c r="D16" s="8">
        <v>1.0</v>
      </c>
      <c r="E16" s="43"/>
      <c r="G16" s="7" t="s">
        <v>8</v>
      </c>
      <c r="I16" s="7" t="s">
        <v>253</v>
      </c>
      <c r="J16" s="42">
        <v>550.0</v>
      </c>
      <c r="K16" s="42">
        <v>550.0</v>
      </c>
      <c r="L16" s="42">
        <v>0.0</v>
      </c>
      <c r="M16" s="49">
        <v>45835.0</v>
      </c>
      <c r="N16" s="7">
        <v>8476.0</v>
      </c>
      <c r="O16" s="7" t="s">
        <v>341</v>
      </c>
    </row>
    <row r="17">
      <c r="A17" s="8">
        <v>114.0</v>
      </c>
      <c r="B17" s="7" t="s">
        <v>354</v>
      </c>
      <c r="C17" s="42">
        <v>600.0</v>
      </c>
      <c r="D17" s="8">
        <v>4.0</v>
      </c>
      <c r="E17" s="43"/>
      <c r="G17" s="7" t="s">
        <v>8</v>
      </c>
      <c r="I17" s="7" t="s">
        <v>326</v>
      </c>
      <c r="J17" s="42">
        <v>600.0</v>
      </c>
      <c r="K17" s="42">
        <v>600.0</v>
      </c>
      <c r="L17" s="42">
        <v>300.0</v>
      </c>
      <c r="M17" s="10">
        <v>45842.0</v>
      </c>
      <c r="N17" s="7">
        <v>8493.0</v>
      </c>
      <c r="O17" s="7" t="s">
        <v>140</v>
      </c>
      <c r="Q17" s="47">
        <v>45849.0</v>
      </c>
      <c r="R17" s="7">
        <v>8506.0</v>
      </c>
      <c r="S17" s="47"/>
    </row>
    <row r="18">
      <c r="A18" s="8">
        <v>215.0</v>
      </c>
      <c r="B18" s="7" t="s">
        <v>71</v>
      </c>
      <c r="C18" s="42">
        <v>600.0</v>
      </c>
      <c r="D18" s="8">
        <v>2.0</v>
      </c>
      <c r="E18" s="43"/>
      <c r="G18" s="7" t="s">
        <v>8</v>
      </c>
      <c r="I18" s="7" t="s">
        <v>266</v>
      </c>
      <c r="J18" s="42">
        <v>600.0</v>
      </c>
      <c r="K18" s="42">
        <v>600.0</v>
      </c>
      <c r="L18" s="42">
        <f t="shared" ref="L18:L27" si="5">SUM(J18-K18)</f>
        <v>0</v>
      </c>
      <c r="M18" s="47">
        <v>45835.0</v>
      </c>
      <c r="N18" s="7">
        <v>8477.0</v>
      </c>
      <c r="O18" s="7" t="s">
        <v>140</v>
      </c>
      <c r="Q18" s="47">
        <v>45849.0</v>
      </c>
      <c r="R18" s="7">
        <v>8504.0</v>
      </c>
    </row>
    <row r="19">
      <c r="A19" s="8">
        <v>216.0</v>
      </c>
      <c r="B19" s="7" t="s">
        <v>22</v>
      </c>
      <c r="C19" s="42">
        <v>640.0</v>
      </c>
      <c r="D19" s="8">
        <v>4.0</v>
      </c>
      <c r="E19" s="43"/>
      <c r="G19" s="7" t="s">
        <v>8</v>
      </c>
      <c r="I19" s="7" t="s">
        <v>249</v>
      </c>
      <c r="J19" s="42">
        <v>600.0</v>
      </c>
      <c r="K19" s="42">
        <v>600.0</v>
      </c>
      <c r="L19" s="42">
        <f t="shared" si="5"/>
        <v>0</v>
      </c>
      <c r="M19" s="47">
        <v>45835.0</v>
      </c>
      <c r="N19" s="7">
        <v>8473.0</v>
      </c>
      <c r="O19" s="7" t="s">
        <v>140</v>
      </c>
      <c r="Q19" s="47">
        <v>45842.0</v>
      </c>
      <c r="R19" s="7">
        <v>8492.0</v>
      </c>
      <c r="S19" s="47">
        <v>45849.0</v>
      </c>
      <c r="T19" s="7">
        <v>8505.0</v>
      </c>
      <c r="U19" s="47">
        <v>45856.0</v>
      </c>
      <c r="V19" s="7">
        <v>8515.0</v>
      </c>
    </row>
    <row r="20">
      <c r="A20" s="87">
        <v>217.0</v>
      </c>
      <c r="B20" s="88" t="s">
        <v>344</v>
      </c>
      <c r="C20" s="89">
        <v>640.0</v>
      </c>
      <c r="D20" s="87"/>
      <c r="E20" s="90"/>
      <c r="F20" s="91"/>
      <c r="G20" s="88" t="s">
        <v>8</v>
      </c>
      <c r="H20" s="91"/>
      <c r="I20" s="88" t="s">
        <v>249</v>
      </c>
      <c r="J20" s="89">
        <v>700.0</v>
      </c>
      <c r="K20" s="89"/>
      <c r="L20" s="89">
        <f t="shared" si="5"/>
        <v>700</v>
      </c>
      <c r="M20" s="92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</row>
    <row r="21">
      <c r="A21" s="82">
        <v>218.0</v>
      </c>
      <c r="B21" s="83"/>
      <c r="C21" s="84">
        <v>640.0</v>
      </c>
      <c r="D21" s="82"/>
      <c r="E21" s="84"/>
      <c r="F21" s="83"/>
      <c r="G21" s="83" t="s">
        <v>8</v>
      </c>
      <c r="H21" s="83"/>
      <c r="I21" s="83" t="s">
        <v>253</v>
      </c>
      <c r="J21" s="84">
        <f>sum(C21+E21)</f>
        <v>640</v>
      </c>
      <c r="K21" s="84"/>
      <c r="L21" s="84">
        <f t="shared" si="5"/>
        <v>640</v>
      </c>
      <c r="M21" s="93"/>
      <c r="N21" s="85"/>
      <c r="O21" s="85"/>
      <c r="P21" s="83"/>
      <c r="Q21" s="94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</row>
    <row r="22">
      <c r="A22" s="8">
        <v>219.0</v>
      </c>
      <c r="B22" s="7" t="s">
        <v>82</v>
      </c>
      <c r="C22" s="42">
        <v>640.0</v>
      </c>
      <c r="D22" s="8">
        <v>1.0</v>
      </c>
      <c r="E22" s="43"/>
      <c r="G22" s="7" t="s">
        <v>11</v>
      </c>
      <c r="J22" s="42">
        <v>640.0</v>
      </c>
      <c r="K22" s="42">
        <v>640.0</v>
      </c>
      <c r="L22" s="42">
        <f t="shared" si="5"/>
        <v>0</v>
      </c>
      <c r="M22" s="47">
        <v>45842.0</v>
      </c>
      <c r="N22" s="7">
        <v>8497.0</v>
      </c>
      <c r="O22" s="7" t="s">
        <v>355</v>
      </c>
      <c r="Q22" s="47"/>
    </row>
    <row r="23">
      <c r="A23" s="60">
        <v>220.0</v>
      </c>
      <c r="B23" s="14" t="s">
        <v>345</v>
      </c>
      <c r="C23" s="61">
        <v>650.0</v>
      </c>
      <c r="D23" s="60">
        <v>1.0</v>
      </c>
      <c r="E23" s="61">
        <v>150.0</v>
      </c>
      <c r="F23" s="15"/>
      <c r="G23" s="14" t="s">
        <v>8</v>
      </c>
      <c r="H23" s="15"/>
      <c r="I23" s="14" t="s">
        <v>253</v>
      </c>
      <c r="J23" s="61">
        <v>800.0</v>
      </c>
      <c r="K23" s="61">
        <v>300.0</v>
      </c>
      <c r="L23" s="61">
        <f t="shared" si="5"/>
        <v>500</v>
      </c>
      <c r="M23" s="64">
        <v>45853.0</v>
      </c>
      <c r="N23" s="14">
        <v>8508.0</v>
      </c>
      <c r="O23" s="14" t="s">
        <v>140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>
      <c r="A24" s="8">
        <v>221.0</v>
      </c>
      <c r="B24" s="7" t="s">
        <v>25</v>
      </c>
      <c r="C24" s="42">
        <v>650.0</v>
      </c>
      <c r="D24" s="8">
        <v>1.0</v>
      </c>
      <c r="E24" s="43"/>
      <c r="G24" s="7" t="s">
        <v>8</v>
      </c>
      <c r="I24" s="7" t="s">
        <v>253</v>
      </c>
      <c r="J24" s="42">
        <v>650.0</v>
      </c>
      <c r="K24" s="42">
        <v>650.0</v>
      </c>
      <c r="L24" s="42">
        <f t="shared" si="5"/>
        <v>0</v>
      </c>
      <c r="M24" s="10">
        <v>45838.0</v>
      </c>
      <c r="N24" s="7">
        <v>8481.0</v>
      </c>
      <c r="O24" s="7" t="s">
        <v>119</v>
      </c>
      <c r="Q24" s="47"/>
    </row>
    <row r="25">
      <c r="A25" s="8">
        <v>222.0</v>
      </c>
      <c r="B25" s="7" t="s">
        <v>356</v>
      </c>
      <c r="C25" s="42">
        <v>640.0</v>
      </c>
      <c r="D25" s="7">
        <v>4.0</v>
      </c>
      <c r="E25" s="42"/>
      <c r="G25" s="7" t="s">
        <v>11</v>
      </c>
      <c r="I25" s="7" t="s">
        <v>249</v>
      </c>
      <c r="J25" s="42">
        <v>640.0</v>
      </c>
      <c r="K25" s="42">
        <v>640.0</v>
      </c>
      <c r="L25" s="42">
        <f t="shared" si="5"/>
        <v>0</v>
      </c>
      <c r="M25" s="47">
        <v>45842.0</v>
      </c>
      <c r="N25" s="7">
        <v>8495.0</v>
      </c>
      <c r="O25" s="7" t="s">
        <v>119</v>
      </c>
      <c r="Q25" s="47">
        <v>45849.0</v>
      </c>
      <c r="R25" s="7">
        <v>8503.0</v>
      </c>
      <c r="S25" s="47">
        <v>45856.0</v>
      </c>
      <c r="T25" s="7">
        <v>8516.0</v>
      </c>
    </row>
    <row r="26">
      <c r="A26" s="8">
        <v>223.0</v>
      </c>
      <c r="C26" s="42">
        <v>640.0</v>
      </c>
      <c r="E26" s="43"/>
      <c r="G26" s="7" t="s">
        <v>11</v>
      </c>
      <c r="J26" s="43"/>
      <c r="K26" s="43"/>
      <c r="L26" s="42">
        <f t="shared" si="5"/>
        <v>0</v>
      </c>
    </row>
    <row r="27">
      <c r="A27" s="8">
        <v>224.0</v>
      </c>
      <c r="C27" s="42">
        <v>640.0</v>
      </c>
      <c r="E27" s="43"/>
      <c r="G27" s="7" t="s">
        <v>11</v>
      </c>
      <c r="I27" s="48"/>
      <c r="J27" s="43"/>
      <c r="K27" s="43"/>
      <c r="L27" s="42">
        <f t="shared" si="5"/>
        <v>0</v>
      </c>
    </row>
    <row r="28">
      <c r="A28" s="8">
        <v>225.0</v>
      </c>
      <c r="B28" s="7" t="s">
        <v>93</v>
      </c>
      <c r="C28" s="42">
        <v>600.0</v>
      </c>
      <c r="D28" s="8">
        <v>4.0</v>
      </c>
      <c r="E28" s="43"/>
      <c r="G28" s="7" t="s">
        <v>8</v>
      </c>
      <c r="I28" s="7" t="s">
        <v>249</v>
      </c>
      <c r="J28" s="42">
        <v>600.0</v>
      </c>
      <c r="K28" s="58">
        <v>600.0</v>
      </c>
      <c r="L28" s="42">
        <v>0.0</v>
      </c>
      <c r="M28" s="49">
        <v>45835.0</v>
      </c>
      <c r="N28" s="7">
        <v>8474.0</v>
      </c>
      <c r="O28" s="7" t="s">
        <v>140</v>
      </c>
      <c r="Q28" s="47">
        <v>45841.0</v>
      </c>
      <c r="R28" s="7">
        <v>8491.0</v>
      </c>
      <c r="S28" s="49">
        <v>45849.0</v>
      </c>
      <c r="T28" s="7">
        <v>8502.0</v>
      </c>
      <c r="U28" s="47">
        <v>45855.0</v>
      </c>
      <c r="V28" s="7">
        <v>8511.0</v>
      </c>
    </row>
    <row r="29">
      <c r="A29" s="8">
        <v>226.0</v>
      </c>
      <c r="B29" s="7" t="s">
        <v>346</v>
      </c>
      <c r="C29" s="42">
        <v>600.0</v>
      </c>
      <c r="D29" s="8">
        <v>1.0</v>
      </c>
      <c r="E29" s="42">
        <v>195.0</v>
      </c>
      <c r="G29" s="7" t="s">
        <v>8</v>
      </c>
      <c r="I29" s="7" t="s">
        <v>253</v>
      </c>
      <c r="J29" s="42">
        <f>sum(C29+E29)</f>
        <v>795</v>
      </c>
      <c r="K29" s="59">
        <v>645.0</v>
      </c>
      <c r="L29" s="42">
        <f t="shared" ref="L29:L32" si="6">SUM(J29-K29)</f>
        <v>150</v>
      </c>
      <c r="M29" s="49">
        <v>45840.0</v>
      </c>
      <c r="N29" s="7">
        <v>8484.0</v>
      </c>
      <c r="O29" s="7"/>
      <c r="Q29" s="47"/>
      <c r="R29" s="7"/>
    </row>
    <row r="30">
      <c r="A30" s="8">
        <v>227.0</v>
      </c>
      <c r="B30" s="7" t="s">
        <v>101</v>
      </c>
      <c r="C30" s="42">
        <v>600.0</v>
      </c>
      <c r="D30" s="8">
        <v>1.0</v>
      </c>
      <c r="E30" s="43"/>
      <c r="G30" s="7" t="s">
        <v>8</v>
      </c>
      <c r="I30" s="7" t="s">
        <v>253</v>
      </c>
      <c r="J30" s="42">
        <v>600.0</v>
      </c>
      <c r="K30" s="59">
        <v>600.0</v>
      </c>
      <c r="L30" s="42">
        <f t="shared" si="6"/>
        <v>0</v>
      </c>
      <c r="M30" s="10">
        <v>45841.0</v>
      </c>
      <c r="N30" s="7">
        <v>8488.0</v>
      </c>
    </row>
    <row r="31">
      <c r="A31" s="8">
        <v>228.0</v>
      </c>
      <c r="B31" s="7" t="s">
        <v>29</v>
      </c>
      <c r="C31" s="42">
        <v>600.0</v>
      </c>
      <c r="D31" s="8">
        <v>2.0</v>
      </c>
      <c r="E31" s="43"/>
      <c r="G31" s="7" t="s">
        <v>8</v>
      </c>
      <c r="I31" s="7" t="s">
        <v>266</v>
      </c>
      <c r="J31" s="42">
        <v>600.0</v>
      </c>
      <c r="K31" s="58">
        <v>0.0</v>
      </c>
      <c r="L31" s="42">
        <f t="shared" si="6"/>
        <v>600</v>
      </c>
      <c r="M31" s="47">
        <v>45835.0</v>
      </c>
      <c r="N31" s="7">
        <v>8482.0</v>
      </c>
      <c r="O31" s="7" t="s">
        <v>69</v>
      </c>
      <c r="Q31" s="47">
        <v>45849.0</v>
      </c>
      <c r="R31" s="7">
        <v>8507.0</v>
      </c>
    </row>
    <row r="32">
      <c r="A32" s="66">
        <v>229.0</v>
      </c>
      <c r="B32" s="67"/>
      <c r="C32" s="68">
        <v>600.0</v>
      </c>
      <c r="D32" s="66"/>
      <c r="E32" s="70"/>
      <c r="F32" s="69"/>
      <c r="G32" s="67" t="s">
        <v>11</v>
      </c>
      <c r="H32" s="69"/>
      <c r="I32" s="67" t="s">
        <v>249</v>
      </c>
      <c r="J32" s="68">
        <v>640.0</v>
      </c>
      <c r="K32" s="73"/>
      <c r="L32" s="68">
        <f t="shared" si="6"/>
        <v>640</v>
      </c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</row>
    <row r="33">
      <c r="A33" s="8" t="s">
        <v>357</v>
      </c>
      <c r="B33" s="7" t="s">
        <v>107</v>
      </c>
      <c r="C33" s="42">
        <v>600.0</v>
      </c>
      <c r="D33" s="8">
        <v>4.0</v>
      </c>
      <c r="E33" s="43"/>
      <c r="G33" s="7" t="s">
        <v>8</v>
      </c>
      <c r="I33" s="7" t="s">
        <v>249</v>
      </c>
      <c r="J33" s="42">
        <v>600.0</v>
      </c>
      <c r="K33" s="58">
        <v>600.0</v>
      </c>
      <c r="L33" s="42"/>
      <c r="M33" s="47">
        <v>45835.0</v>
      </c>
      <c r="N33" s="7">
        <v>8475.0</v>
      </c>
      <c r="O33" s="7" t="s">
        <v>140</v>
      </c>
      <c r="Q33" s="47">
        <v>45842.0</v>
      </c>
      <c r="R33" s="7">
        <v>8494.0</v>
      </c>
      <c r="S33" s="47">
        <v>45849.0</v>
      </c>
      <c r="T33" s="7">
        <v>8501.0</v>
      </c>
      <c r="U33" s="47">
        <v>45856.0</v>
      </c>
      <c r="V33" s="7">
        <v>8513.0</v>
      </c>
    </row>
    <row r="35">
      <c r="A35" s="12" t="s">
        <v>197</v>
      </c>
      <c r="B35" s="17"/>
      <c r="C35" s="63">
        <f>SUM(C2:C33)</f>
        <v>20010</v>
      </c>
      <c r="D35" s="17"/>
      <c r="E35" s="63">
        <f>SUM(E2:E33)</f>
        <v>345</v>
      </c>
      <c r="F35" s="17"/>
      <c r="G35" s="17">
        <f t="array" ref="G35">COUNTIF(G2:G33,"y")</f>
        <v>23</v>
      </c>
      <c r="H35" s="17"/>
      <c r="I35" s="17"/>
      <c r="J35" s="63">
        <f t="shared" ref="J35:L35" si="7">SUM(J2:J33)</f>
        <v>17265</v>
      </c>
      <c r="K35" s="63">
        <f t="shared" si="7"/>
        <v>11045</v>
      </c>
      <c r="L35" s="63">
        <f t="shared" si="7"/>
        <v>5920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7">
      <c r="G37" s="7" t="s">
        <v>358</v>
      </c>
    </row>
    <row r="38">
      <c r="A38" s="18" t="s">
        <v>34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</row>
    <row r="39">
      <c r="A39" s="20" t="s">
        <v>198</v>
      </c>
      <c r="B39" s="20" t="s">
        <v>121</v>
      </c>
      <c r="C39" s="21"/>
      <c r="D39" s="20" t="s">
        <v>199</v>
      </c>
      <c r="E39" s="20">
        <v>1.0</v>
      </c>
      <c r="F39" s="20">
        <v>2.0</v>
      </c>
      <c r="G39" s="20">
        <v>3.0</v>
      </c>
      <c r="H39" s="20">
        <v>4.0</v>
      </c>
      <c r="I39" s="20"/>
      <c r="J39" s="20">
        <v>5.0</v>
      </c>
      <c r="K39" s="20">
        <v>6.0</v>
      </c>
      <c r="L39" s="20">
        <v>7.0</v>
      </c>
      <c r="M39" s="20">
        <v>8.0</v>
      </c>
      <c r="N39" s="20">
        <v>9.0</v>
      </c>
      <c r="O39" s="22" t="s">
        <v>200</v>
      </c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>
      <c r="A40" s="7" t="s">
        <v>122</v>
      </c>
      <c r="B40" s="42">
        <f>O48</f>
        <v>3800</v>
      </c>
      <c r="D40" s="7" t="s">
        <v>61</v>
      </c>
      <c r="E40" s="7">
        <v>250.0</v>
      </c>
      <c r="F40" s="7">
        <v>250.0</v>
      </c>
      <c r="G40" s="7">
        <v>250.0</v>
      </c>
      <c r="H40" s="7">
        <v>250.0</v>
      </c>
      <c r="O40" s="17">
        <f t="shared" ref="O40:O47" si="8">SUM(E40:N40)</f>
        <v>1000</v>
      </c>
    </row>
    <row r="41">
      <c r="A41" s="7" t="s">
        <v>123</v>
      </c>
      <c r="B41" s="42">
        <v>0.0</v>
      </c>
      <c r="D41" s="7" t="s">
        <v>201</v>
      </c>
      <c r="E41" s="7">
        <v>200.0</v>
      </c>
      <c r="F41" s="7">
        <v>200.0</v>
      </c>
      <c r="G41" s="7">
        <v>200.0</v>
      </c>
      <c r="H41" s="7">
        <v>200.0</v>
      </c>
      <c r="O41" s="17">
        <f t="shared" si="8"/>
        <v>800</v>
      </c>
    </row>
    <row r="42">
      <c r="A42" s="7" t="s">
        <v>124</v>
      </c>
      <c r="B42" s="42">
        <v>876.0</v>
      </c>
      <c r="D42" s="7" t="s">
        <v>205</v>
      </c>
      <c r="E42" s="7"/>
      <c r="O42" s="17">
        <f t="shared" si="8"/>
        <v>0</v>
      </c>
    </row>
    <row r="43">
      <c r="A43" s="7" t="s">
        <v>125</v>
      </c>
      <c r="B43" s="42">
        <v>385.0</v>
      </c>
      <c r="D43" s="7" t="s">
        <v>203</v>
      </c>
      <c r="O43" s="17">
        <f t="shared" si="8"/>
        <v>0</v>
      </c>
    </row>
    <row r="44">
      <c r="A44" s="7" t="s">
        <v>126</v>
      </c>
      <c r="B44" s="42">
        <v>280.0</v>
      </c>
      <c r="D44" s="7" t="s">
        <v>204</v>
      </c>
      <c r="O44" s="17">
        <f t="shared" si="8"/>
        <v>0</v>
      </c>
    </row>
    <row r="45">
      <c r="A45" s="7" t="s">
        <v>128</v>
      </c>
      <c r="B45" s="42">
        <v>795.0</v>
      </c>
      <c r="D45" s="7" t="s">
        <v>297</v>
      </c>
      <c r="E45" s="7">
        <v>500.0</v>
      </c>
      <c r="F45" s="7">
        <v>500.0</v>
      </c>
      <c r="G45" s="7">
        <v>500.0</v>
      </c>
      <c r="H45" s="7">
        <v>500.0</v>
      </c>
      <c r="O45" s="17">
        <f t="shared" si="8"/>
        <v>2000</v>
      </c>
    </row>
    <row r="46">
      <c r="A46" s="7" t="s">
        <v>129</v>
      </c>
      <c r="B46" s="42">
        <v>1000.0</v>
      </c>
      <c r="D46" s="7"/>
      <c r="O46" s="17">
        <f t="shared" si="8"/>
        <v>0</v>
      </c>
    </row>
    <row r="47">
      <c r="A47" s="7" t="s">
        <v>207</v>
      </c>
      <c r="B47" s="42">
        <v>828.78</v>
      </c>
      <c r="D47" s="7"/>
      <c r="E47" s="7"/>
      <c r="F47" s="7"/>
      <c r="G47" s="7"/>
      <c r="H47" s="7"/>
      <c r="J47" s="7"/>
      <c r="K47" s="7"/>
      <c r="O47" s="17">
        <f t="shared" si="8"/>
        <v>0</v>
      </c>
    </row>
    <row r="48">
      <c r="A48" s="7" t="s">
        <v>208</v>
      </c>
      <c r="B48" s="43">
        <f>E79</f>
        <v>3665</v>
      </c>
      <c r="O48" s="17">
        <f>SUM(O40:O47)</f>
        <v>3800</v>
      </c>
    </row>
    <row r="49">
      <c r="B49" s="43"/>
    </row>
    <row r="50">
      <c r="A50" s="7" t="s">
        <v>200</v>
      </c>
      <c r="B50" s="43">
        <f>SUM(B40:B48)</f>
        <v>11629.78</v>
      </c>
    </row>
    <row r="51">
      <c r="A51" s="17"/>
      <c r="B51" s="17"/>
      <c r="C51" s="17"/>
      <c r="D51" s="22" t="s">
        <v>209</v>
      </c>
      <c r="E51" s="22" t="s">
        <v>121</v>
      </c>
      <c r="F51" s="22" t="s">
        <v>210</v>
      </c>
      <c r="G51" s="22" t="s">
        <v>211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>
      <c r="B52" s="7" t="s">
        <v>347</v>
      </c>
      <c r="C52" s="7" t="s">
        <v>348</v>
      </c>
    </row>
    <row r="53">
      <c r="A53" s="7" t="s">
        <v>214</v>
      </c>
      <c r="B53" s="42">
        <f t="shared" ref="B53:C53" si="9">J35</f>
        <v>17265</v>
      </c>
      <c r="C53" s="42">
        <f t="shared" si="9"/>
        <v>11045</v>
      </c>
      <c r="E53" s="42">
        <v>348.0</v>
      </c>
      <c r="F53" s="7" t="s">
        <v>224</v>
      </c>
      <c r="G53" s="7" t="s">
        <v>349</v>
      </c>
    </row>
    <row r="54">
      <c r="A54" s="7" t="s">
        <v>217</v>
      </c>
      <c r="B54" s="43">
        <f>B50</f>
        <v>11629.78</v>
      </c>
      <c r="C54" s="43">
        <f>B50</f>
        <v>11629.78</v>
      </c>
      <c r="E54" s="42">
        <v>717.0</v>
      </c>
      <c r="F54" s="7" t="s">
        <v>350</v>
      </c>
      <c r="G54" s="7" t="s">
        <v>351</v>
      </c>
    </row>
    <row r="55">
      <c r="E55" s="42">
        <v>2200.0</v>
      </c>
      <c r="F55" s="7" t="s">
        <v>359</v>
      </c>
    </row>
    <row r="56">
      <c r="A56" s="44" t="s">
        <v>221</v>
      </c>
      <c r="B56" s="74">
        <f>B53-B54</f>
        <v>5635.22</v>
      </c>
      <c r="C56" s="74">
        <f>SUM(C53-C54)</f>
        <v>-584.78</v>
      </c>
      <c r="D56" s="75"/>
      <c r="E56" s="42">
        <v>400.0</v>
      </c>
      <c r="F56" s="7" t="s">
        <v>360</v>
      </c>
    </row>
    <row r="57">
      <c r="E57" s="43"/>
    </row>
    <row r="58">
      <c r="A58" s="7" t="s">
        <v>361</v>
      </c>
      <c r="E58" s="43"/>
    </row>
    <row r="59">
      <c r="E59" s="43"/>
    </row>
    <row r="60">
      <c r="E60" s="43"/>
    </row>
    <row r="61">
      <c r="E61" s="43"/>
    </row>
    <row r="62">
      <c r="E62" s="43"/>
    </row>
    <row r="63">
      <c r="E63" s="43"/>
    </row>
    <row r="64">
      <c r="E64" s="42"/>
    </row>
    <row r="65">
      <c r="E65" s="42"/>
    </row>
    <row r="66">
      <c r="E66" s="42"/>
    </row>
    <row r="67">
      <c r="E67" s="43"/>
    </row>
    <row r="68">
      <c r="E68" s="43"/>
    </row>
    <row r="69">
      <c r="E69" s="43"/>
    </row>
    <row r="70">
      <c r="E70" s="43"/>
    </row>
    <row r="71">
      <c r="E71" s="43"/>
    </row>
    <row r="72">
      <c r="E72" s="43"/>
    </row>
    <row r="73">
      <c r="E73" s="43"/>
    </row>
    <row r="74">
      <c r="E74" s="43"/>
    </row>
    <row r="75">
      <c r="E75" s="43"/>
    </row>
    <row r="76">
      <c r="E76" s="43"/>
    </row>
    <row r="77">
      <c r="D77" s="7"/>
      <c r="E77" s="43"/>
    </row>
    <row r="78">
      <c r="D78" s="7"/>
      <c r="E78" s="43"/>
    </row>
    <row r="79">
      <c r="D79" s="7" t="s">
        <v>200</v>
      </c>
      <c r="E79" s="43">
        <f>SUM(E52:E75)</f>
        <v>3665</v>
      </c>
    </row>
  </sheetData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26.13"/>
    <col customWidth="1" min="4" max="4" width="8.75"/>
    <col customWidth="1" min="5" max="5" width="10.25"/>
    <col customWidth="1" min="6" max="6" width="11.88"/>
    <col customWidth="1" min="7" max="7" width="10.13"/>
    <col customWidth="1" min="8" max="8" width="26.88"/>
    <col customWidth="1" min="9" max="9" width="12.0"/>
    <col customWidth="1" min="10" max="10" width="10.25"/>
    <col customWidth="1" min="11" max="11" width="9.38"/>
    <col customWidth="1" min="12" max="12" width="19.25"/>
    <col customWidth="1" min="13" max="13" width="15.63"/>
    <col customWidth="1" min="14" max="14" width="17.88"/>
    <col customWidth="1" min="15" max="15" width="19.0"/>
    <col customWidth="1" min="18" max="18" width="19.38"/>
    <col customWidth="1" min="19" max="19" width="17.25"/>
  </cols>
  <sheetData>
    <row r="1">
      <c r="A1" s="44" t="s">
        <v>36</v>
      </c>
      <c r="B1" s="44" t="s">
        <v>37</v>
      </c>
      <c r="C1" s="44" t="s">
        <v>2</v>
      </c>
      <c r="D1" s="44" t="s">
        <v>38</v>
      </c>
      <c r="E1" s="44" t="s">
        <v>39</v>
      </c>
      <c r="F1" s="44" t="s">
        <v>40</v>
      </c>
      <c r="G1" s="44" t="s">
        <v>3</v>
      </c>
      <c r="H1" s="44" t="s">
        <v>7</v>
      </c>
      <c r="I1" s="44" t="s">
        <v>246</v>
      </c>
      <c r="J1" s="44" t="s">
        <v>41</v>
      </c>
      <c r="K1" s="44" t="s">
        <v>42</v>
      </c>
      <c r="L1" s="44" t="s">
        <v>43</v>
      </c>
      <c r="M1" s="44" t="s">
        <v>44</v>
      </c>
      <c r="N1" s="44" t="s">
        <v>45</v>
      </c>
      <c r="O1" s="44" t="s">
        <v>46</v>
      </c>
      <c r="P1" s="44" t="s">
        <v>47</v>
      </c>
      <c r="Q1" s="44" t="s">
        <v>247</v>
      </c>
      <c r="R1" s="12" t="s">
        <v>333</v>
      </c>
      <c r="S1" s="12" t="s">
        <v>334</v>
      </c>
      <c r="T1" s="12" t="s">
        <v>335</v>
      </c>
      <c r="U1" s="12" t="s">
        <v>336</v>
      </c>
      <c r="V1" s="12" t="s">
        <v>337</v>
      </c>
      <c r="W1" s="13"/>
      <c r="X1" s="13"/>
      <c r="Y1" s="13"/>
      <c r="Z1" s="13"/>
      <c r="AA1" s="13"/>
      <c r="AB1" s="13"/>
    </row>
    <row r="2">
      <c r="A2" s="8">
        <v>100.0</v>
      </c>
      <c r="B2" s="7" t="s">
        <v>352</v>
      </c>
      <c r="C2" s="42">
        <v>640.0</v>
      </c>
      <c r="D2" s="8">
        <v>1.0</v>
      </c>
      <c r="E2" s="43"/>
      <c r="G2" s="7" t="s">
        <v>8</v>
      </c>
      <c r="I2" s="7" t="s">
        <v>249</v>
      </c>
      <c r="J2" s="42">
        <f>Sum(C2+E2)</f>
        <v>640</v>
      </c>
      <c r="K2" s="42">
        <v>640.0</v>
      </c>
      <c r="L2" s="42">
        <f t="shared" ref="L2:L10" si="1">SUM(J2-K2)</f>
        <v>0</v>
      </c>
      <c r="M2" s="47">
        <v>45870.0</v>
      </c>
      <c r="N2" s="7">
        <v>8534.0</v>
      </c>
      <c r="O2" s="7" t="s">
        <v>341</v>
      </c>
      <c r="Q2" s="47">
        <v>45855.0</v>
      </c>
      <c r="R2" s="7">
        <v>8510.0</v>
      </c>
      <c r="S2" s="47"/>
      <c r="U2" s="47"/>
    </row>
    <row r="3">
      <c r="A3" s="8">
        <v>101.0</v>
      </c>
      <c r="B3" s="7" t="s">
        <v>10</v>
      </c>
      <c r="C3" s="42">
        <v>640.0</v>
      </c>
      <c r="D3" s="8">
        <v>1.0</v>
      </c>
      <c r="E3" s="43"/>
      <c r="G3" s="7" t="s">
        <v>8</v>
      </c>
      <c r="I3" s="7" t="s">
        <v>253</v>
      </c>
      <c r="J3" s="42">
        <f>sum(C3+E3)</f>
        <v>640</v>
      </c>
      <c r="K3" s="42">
        <v>640.0</v>
      </c>
      <c r="L3" s="42">
        <f t="shared" si="1"/>
        <v>0</v>
      </c>
      <c r="M3" s="10">
        <v>45870.0</v>
      </c>
      <c r="N3" s="7">
        <v>8530.0</v>
      </c>
      <c r="O3" s="7" t="s">
        <v>140</v>
      </c>
    </row>
    <row r="4">
      <c r="A4" s="8">
        <v>102.0</v>
      </c>
      <c r="B4" s="7" t="s">
        <v>362</v>
      </c>
      <c r="C4" s="42">
        <v>600.0</v>
      </c>
      <c r="D4" s="8"/>
      <c r="E4" s="42"/>
      <c r="G4" s="7" t="s">
        <v>11</v>
      </c>
      <c r="I4" s="7"/>
      <c r="J4" s="42">
        <v>600.0</v>
      </c>
      <c r="K4" s="42">
        <v>600.0</v>
      </c>
      <c r="L4" s="42">
        <f t="shared" si="1"/>
        <v>0</v>
      </c>
      <c r="M4" s="47"/>
    </row>
    <row r="5">
      <c r="A5" s="8">
        <v>103.0</v>
      </c>
      <c r="B5" s="7" t="s">
        <v>13</v>
      </c>
      <c r="C5" s="42">
        <v>640.0</v>
      </c>
      <c r="D5" s="8"/>
      <c r="E5" s="43"/>
      <c r="G5" s="7" t="s">
        <v>8</v>
      </c>
      <c r="I5" s="7" t="s">
        <v>253</v>
      </c>
      <c r="J5" s="42">
        <f>Sum(C5+E5)</f>
        <v>640</v>
      </c>
      <c r="K5" s="42">
        <v>640.0</v>
      </c>
      <c r="L5" s="42">
        <f t="shared" si="1"/>
        <v>0</v>
      </c>
      <c r="M5" s="47"/>
      <c r="Q5" s="47"/>
      <c r="S5" s="47"/>
    </row>
    <row r="6">
      <c r="A6" s="8">
        <v>104.0</v>
      </c>
      <c r="B6" s="7" t="s">
        <v>81</v>
      </c>
      <c r="C6" s="42">
        <v>650.0</v>
      </c>
      <c r="D6" s="8"/>
      <c r="E6" s="42"/>
      <c r="F6" s="7"/>
      <c r="G6" s="7" t="s">
        <v>8</v>
      </c>
      <c r="I6" s="7" t="s">
        <v>249</v>
      </c>
      <c r="J6" s="42">
        <v>650.0</v>
      </c>
      <c r="K6" s="42">
        <v>650.0</v>
      </c>
      <c r="L6" s="42">
        <f t="shared" si="1"/>
        <v>0</v>
      </c>
      <c r="M6" s="47">
        <v>45863.0</v>
      </c>
      <c r="N6" s="7">
        <v>8525.0</v>
      </c>
      <c r="O6" s="7" t="s">
        <v>80</v>
      </c>
      <c r="P6" s="7"/>
      <c r="Q6" s="55"/>
    </row>
    <row r="7">
      <c r="A7" s="8">
        <v>105.0</v>
      </c>
      <c r="B7" s="7" t="s">
        <v>146</v>
      </c>
      <c r="C7" s="42">
        <v>640.0</v>
      </c>
      <c r="D7" s="8"/>
      <c r="E7" s="42">
        <v>200.0</v>
      </c>
      <c r="G7" s="7" t="s">
        <v>8</v>
      </c>
      <c r="I7" s="7" t="s">
        <v>249</v>
      </c>
      <c r="J7" s="42">
        <f>sum(C7+E7)</f>
        <v>840</v>
      </c>
      <c r="K7" s="42">
        <v>0.0</v>
      </c>
      <c r="L7" s="42">
        <f t="shared" si="1"/>
        <v>840</v>
      </c>
      <c r="M7" s="47"/>
    </row>
    <row r="8">
      <c r="A8" s="60">
        <v>106.0</v>
      </c>
      <c r="B8" s="14" t="s">
        <v>363</v>
      </c>
      <c r="C8" s="61">
        <v>640.0</v>
      </c>
      <c r="D8" s="15"/>
      <c r="E8" s="95"/>
      <c r="F8" s="15"/>
      <c r="G8" s="14" t="s">
        <v>8</v>
      </c>
      <c r="H8" s="15"/>
      <c r="I8" s="14" t="s">
        <v>249</v>
      </c>
      <c r="J8" s="61">
        <v>350.0</v>
      </c>
      <c r="K8" s="61">
        <v>950.0</v>
      </c>
      <c r="L8" s="61">
        <f t="shared" si="1"/>
        <v>-600</v>
      </c>
      <c r="M8" s="15"/>
      <c r="N8" s="15"/>
      <c r="O8" s="15"/>
      <c r="P8" s="14" t="s">
        <v>364</v>
      </c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82">
        <v>107.0</v>
      </c>
      <c r="B9" s="85"/>
      <c r="C9" s="84">
        <v>640.0</v>
      </c>
      <c r="D9" s="85"/>
      <c r="E9" s="96"/>
      <c r="F9" s="85"/>
      <c r="G9" s="83" t="s">
        <v>11</v>
      </c>
      <c r="H9" s="85"/>
      <c r="I9" s="85"/>
      <c r="J9" s="96"/>
      <c r="K9" s="96"/>
      <c r="L9" s="84">
        <f t="shared" si="1"/>
        <v>0</v>
      </c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</row>
    <row r="10">
      <c r="A10" s="82">
        <v>108.0</v>
      </c>
      <c r="B10" s="85"/>
      <c r="C10" s="84">
        <v>640.0</v>
      </c>
      <c r="D10" s="85"/>
      <c r="E10" s="96"/>
      <c r="F10" s="85"/>
      <c r="G10" s="83" t="s">
        <v>11</v>
      </c>
      <c r="H10" s="85"/>
      <c r="I10" s="85"/>
      <c r="J10" s="96"/>
      <c r="K10" s="84"/>
      <c r="L10" s="84">
        <f t="shared" si="1"/>
        <v>0</v>
      </c>
      <c r="M10" s="93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</row>
    <row r="11">
      <c r="A11" s="8">
        <v>109.0</v>
      </c>
      <c r="B11" s="7" t="s">
        <v>339</v>
      </c>
      <c r="C11" s="42">
        <v>600.0</v>
      </c>
      <c r="D11" s="8">
        <v>3.0</v>
      </c>
      <c r="E11" s="43"/>
      <c r="G11" s="7" t="s">
        <v>8</v>
      </c>
      <c r="I11" s="7" t="s">
        <v>249</v>
      </c>
      <c r="J11" s="42">
        <v>600.0</v>
      </c>
      <c r="K11" s="42">
        <v>600.0</v>
      </c>
      <c r="L11" s="42">
        <f>sum(J11-K11)</f>
        <v>0</v>
      </c>
      <c r="M11" s="47">
        <v>45862.0</v>
      </c>
      <c r="N11" s="7">
        <v>8518.0</v>
      </c>
      <c r="Q11" s="47">
        <v>45870.0</v>
      </c>
      <c r="R11" s="7">
        <v>8527.0</v>
      </c>
      <c r="S11" s="47">
        <v>45876.0</v>
      </c>
      <c r="T11" s="7">
        <v>8542.0</v>
      </c>
      <c r="U11" s="47"/>
      <c r="V11" s="7">
        <v>8512.0</v>
      </c>
    </row>
    <row r="12">
      <c r="A12" s="60">
        <v>110.0</v>
      </c>
      <c r="B12" s="14" t="s">
        <v>62</v>
      </c>
      <c r="C12" s="61">
        <v>600.0</v>
      </c>
      <c r="D12" s="14">
        <v>1.0</v>
      </c>
      <c r="E12" s="95"/>
      <c r="F12" s="15"/>
      <c r="G12" s="14" t="s">
        <v>8</v>
      </c>
      <c r="H12" s="15"/>
      <c r="I12" s="14" t="s">
        <v>249</v>
      </c>
      <c r="J12" s="61">
        <v>600.0</v>
      </c>
      <c r="K12" s="61">
        <v>0.0</v>
      </c>
      <c r="L12" s="61">
        <f t="shared" ref="L12:L13" si="2">SUM(J12-K12)</f>
        <v>600</v>
      </c>
      <c r="M12" s="64">
        <v>45870.0</v>
      </c>
      <c r="N12" s="14">
        <v>8537.0</v>
      </c>
      <c r="O12" s="14" t="s">
        <v>140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>
      <c r="A13" s="8">
        <v>111.0</v>
      </c>
      <c r="B13" s="7" t="s">
        <v>19</v>
      </c>
      <c r="C13" s="42">
        <v>600.0</v>
      </c>
      <c r="D13" s="8">
        <v>1.0</v>
      </c>
      <c r="E13" s="43"/>
      <c r="G13" s="7" t="s">
        <v>8</v>
      </c>
      <c r="I13" s="7" t="s">
        <v>266</v>
      </c>
      <c r="J13" s="42">
        <v>600.0</v>
      </c>
      <c r="K13" s="42">
        <v>600.0</v>
      </c>
      <c r="L13" s="42">
        <f t="shared" si="2"/>
        <v>0</v>
      </c>
      <c r="M13" s="47">
        <v>45873.0</v>
      </c>
      <c r="N13" s="7">
        <v>8540.0</v>
      </c>
      <c r="O13" s="7" t="s">
        <v>140</v>
      </c>
    </row>
    <row r="14">
      <c r="A14" s="60">
        <v>112.0</v>
      </c>
      <c r="B14" s="14" t="s">
        <v>365</v>
      </c>
      <c r="C14" s="61">
        <v>600.0</v>
      </c>
      <c r="D14" s="60"/>
      <c r="E14" s="61"/>
      <c r="F14" s="15"/>
      <c r="G14" s="14" t="s">
        <v>11</v>
      </c>
      <c r="H14" s="15"/>
      <c r="I14" s="14"/>
      <c r="J14" s="61">
        <f>sum(C14+E14)</f>
        <v>600</v>
      </c>
      <c r="K14" s="61">
        <v>450.0</v>
      </c>
      <c r="L14" s="61">
        <v>150.0</v>
      </c>
      <c r="M14" s="64"/>
      <c r="N14" s="14"/>
      <c r="O14" s="14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>
      <c r="A15" s="8">
        <v>113.0</v>
      </c>
      <c r="B15" s="7" t="s">
        <v>21</v>
      </c>
      <c r="C15" s="42">
        <v>600.0</v>
      </c>
      <c r="D15" s="8">
        <v>1.0</v>
      </c>
      <c r="E15" s="43"/>
      <c r="G15" s="7" t="s">
        <v>8</v>
      </c>
      <c r="I15" s="7" t="s">
        <v>253</v>
      </c>
      <c r="J15" s="42">
        <v>550.0</v>
      </c>
      <c r="K15" s="42">
        <v>550.0</v>
      </c>
      <c r="L15" s="42">
        <v>0.0</v>
      </c>
      <c r="M15" s="49">
        <v>45870.0</v>
      </c>
      <c r="N15" s="7">
        <v>8533.0</v>
      </c>
      <c r="O15" s="7" t="s">
        <v>69</v>
      </c>
    </row>
    <row r="16">
      <c r="A16" s="8">
        <v>114.0</v>
      </c>
      <c r="B16" s="7" t="s">
        <v>354</v>
      </c>
      <c r="C16" s="42">
        <v>600.0</v>
      </c>
      <c r="D16" s="8"/>
      <c r="E16" s="42">
        <v>300.0</v>
      </c>
      <c r="G16" s="7" t="s">
        <v>8</v>
      </c>
      <c r="I16" s="7" t="s">
        <v>326</v>
      </c>
      <c r="J16" s="42">
        <v>600.0</v>
      </c>
      <c r="K16" s="42">
        <v>600.0</v>
      </c>
      <c r="L16" s="42">
        <f>sum(J16-K16)</f>
        <v>0</v>
      </c>
      <c r="M16" s="10">
        <v>45863.0</v>
      </c>
      <c r="N16" s="7">
        <v>8524.0</v>
      </c>
      <c r="O16" s="7" t="s">
        <v>69</v>
      </c>
      <c r="Q16" s="47">
        <v>45849.0</v>
      </c>
      <c r="R16" s="7">
        <v>8506.0</v>
      </c>
      <c r="S16" s="47"/>
    </row>
    <row r="17">
      <c r="A17" s="66">
        <v>215.0</v>
      </c>
      <c r="B17" s="69"/>
      <c r="C17" s="68">
        <v>600.0</v>
      </c>
      <c r="D17" s="66"/>
      <c r="E17" s="70"/>
      <c r="F17" s="69"/>
      <c r="G17" s="67" t="s">
        <v>8</v>
      </c>
      <c r="H17" s="69"/>
      <c r="I17" s="67" t="s">
        <v>266</v>
      </c>
      <c r="J17" s="68"/>
      <c r="K17" s="68"/>
      <c r="L17" s="68">
        <f t="shared" ref="L17:L26" si="3">SUM(J17-K17)</f>
        <v>0</v>
      </c>
      <c r="M17" s="76"/>
      <c r="N17" s="67"/>
      <c r="O17" s="67"/>
      <c r="P17" s="69"/>
      <c r="Q17" s="76">
        <v>45849.0</v>
      </c>
      <c r="R17" s="67">
        <v>8504.0</v>
      </c>
      <c r="S17" s="69"/>
      <c r="T17" s="69"/>
      <c r="U17" s="69"/>
      <c r="V17" s="69"/>
      <c r="W17" s="69"/>
      <c r="X17" s="69"/>
      <c r="Y17" s="69"/>
      <c r="Z17" s="69"/>
      <c r="AA17" s="69"/>
      <c r="AB17" s="69"/>
    </row>
    <row r="18">
      <c r="A18" s="8">
        <v>216.0</v>
      </c>
      <c r="B18" s="7" t="s">
        <v>22</v>
      </c>
      <c r="C18" s="42">
        <v>640.0</v>
      </c>
      <c r="D18" s="8">
        <v>2.0</v>
      </c>
      <c r="E18" s="43"/>
      <c r="G18" s="7" t="s">
        <v>8</v>
      </c>
      <c r="I18" s="7" t="s">
        <v>249</v>
      </c>
      <c r="J18" s="42">
        <v>600.0</v>
      </c>
      <c r="K18" s="42">
        <v>600.0</v>
      </c>
      <c r="L18" s="42">
        <f t="shared" si="3"/>
        <v>0</v>
      </c>
      <c r="M18" s="47">
        <v>45863.0</v>
      </c>
      <c r="N18" s="7">
        <v>8526.0</v>
      </c>
      <c r="O18" s="7" t="s">
        <v>140</v>
      </c>
      <c r="Q18" s="47">
        <v>45870.0</v>
      </c>
      <c r="R18" s="7">
        <v>8531.0</v>
      </c>
      <c r="S18" s="47"/>
      <c r="U18" s="47"/>
    </row>
    <row r="19">
      <c r="A19" s="97">
        <v>217.0</v>
      </c>
      <c r="B19" s="98"/>
      <c r="C19" s="99">
        <v>640.0</v>
      </c>
      <c r="D19" s="97"/>
      <c r="E19" s="100"/>
      <c r="F19" s="101"/>
      <c r="G19" s="98" t="s">
        <v>11</v>
      </c>
      <c r="H19" s="101"/>
      <c r="I19" s="98" t="s">
        <v>249</v>
      </c>
      <c r="J19" s="99">
        <v>0.0</v>
      </c>
      <c r="K19" s="99">
        <v>0.0</v>
      </c>
      <c r="L19" s="99">
        <f t="shared" si="3"/>
        <v>0</v>
      </c>
      <c r="M19" s="102">
        <v>45872.0</v>
      </c>
      <c r="N19" s="98">
        <v>8539.0</v>
      </c>
      <c r="O19" s="98" t="s">
        <v>140</v>
      </c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</row>
    <row r="20">
      <c r="A20" s="82">
        <v>218.0</v>
      </c>
      <c r="B20" s="83"/>
      <c r="C20" s="84">
        <v>640.0</v>
      </c>
      <c r="D20" s="82"/>
      <c r="E20" s="84"/>
      <c r="F20" s="83"/>
      <c r="G20" s="83" t="s">
        <v>8</v>
      </c>
      <c r="H20" s="83"/>
      <c r="I20" s="83" t="s">
        <v>253</v>
      </c>
      <c r="J20" s="84"/>
      <c r="K20" s="84"/>
      <c r="L20" s="84">
        <f t="shared" si="3"/>
        <v>0</v>
      </c>
      <c r="M20" s="93"/>
      <c r="N20" s="85"/>
      <c r="O20" s="85"/>
      <c r="P20" s="83"/>
      <c r="Q20" s="94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</row>
    <row r="21">
      <c r="A21" s="8">
        <v>219.0</v>
      </c>
      <c r="B21" s="7" t="s">
        <v>82</v>
      </c>
      <c r="C21" s="42">
        <v>640.0</v>
      </c>
      <c r="D21" s="8">
        <v>1.0</v>
      </c>
      <c r="E21" s="43"/>
      <c r="G21" s="7" t="s">
        <v>11</v>
      </c>
      <c r="J21" s="42">
        <v>640.0</v>
      </c>
      <c r="K21" s="42">
        <v>640.0</v>
      </c>
      <c r="L21" s="42">
        <f t="shared" si="3"/>
        <v>0</v>
      </c>
      <c r="M21" s="47">
        <v>45863.0</v>
      </c>
      <c r="N21" s="7">
        <v>8519.0</v>
      </c>
      <c r="O21" s="7" t="s">
        <v>80</v>
      </c>
      <c r="Q21" s="47"/>
    </row>
    <row r="22">
      <c r="A22" s="60">
        <v>220.0</v>
      </c>
      <c r="B22" s="14" t="s">
        <v>345</v>
      </c>
      <c r="C22" s="61">
        <v>650.0</v>
      </c>
      <c r="D22" s="60">
        <v>2.0</v>
      </c>
      <c r="E22" s="61"/>
      <c r="F22" s="15"/>
      <c r="G22" s="14" t="s">
        <v>8</v>
      </c>
      <c r="H22" s="15"/>
      <c r="I22" s="14" t="s">
        <v>253</v>
      </c>
      <c r="J22" s="61">
        <v>650.0</v>
      </c>
      <c r="K22" s="61">
        <v>650.0</v>
      </c>
      <c r="L22" s="61">
        <f t="shared" si="3"/>
        <v>0</v>
      </c>
      <c r="M22" s="64">
        <v>45870.0</v>
      </c>
      <c r="N22" s="14">
        <v>8538.0</v>
      </c>
      <c r="O22" s="14" t="s">
        <v>140</v>
      </c>
      <c r="P22" s="15"/>
      <c r="Q22" s="64">
        <v>45877.0</v>
      </c>
      <c r="R22" s="14">
        <v>8547.0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>
      <c r="A23" s="8">
        <v>221.0</v>
      </c>
      <c r="B23" s="7" t="s">
        <v>25</v>
      </c>
      <c r="C23" s="42">
        <v>650.0</v>
      </c>
      <c r="D23" s="8"/>
      <c r="E23" s="43"/>
      <c r="G23" s="7" t="s">
        <v>8</v>
      </c>
      <c r="I23" s="7" t="s">
        <v>253</v>
      </c>
      <c r="J23" s="42">
        <v>650.0</v>
      </c>
      <c r="K23" s="42">
        <v>650.0</v>
      </c>
      <c r="L23" s="42">
        <f t="shared" si="3"/>
        <v>0</v>
      </c>
      <c r="M23" s="10">
        <v>45869.0</v>
      </c>
      <c r="N23" s="7">
        <v>8529.0</v>
      </c>
      <c r="O23" s="7" t="s">
        <v>140</v>
      </c>
      <c r="Q23" s="47"/>
    </row>
    <row r="24">
      <c r="A24" s="8">
        <v>222.0</v>
      </c>
      <c r="C24" s="42">
        <v>640.0</v>
      </c>
      <c r="E24" s="42"/>
      <c r="G24" s="7" t="s">
        <v>11</v>
      </c>
      <c r="I24" s="7" t="s">
        <v>249</v>
      </c>
      <c r="J24" s="42"/>
      <c r="K24" s="42"/>
      <c r="L24" s="42">
        <f t="shared" si="3"/>
        <v>0</v>
      </c>
      <c r="M24" s="47"/>
      <c r="Q24" s="47"/>
      <c r="S24" s="47"/>
    </row>
    <row r="25">
      <c r="A25" s="82">
        <v>223.0</v>
      </c>
      <c r="B25" s="85"/>
      <c r="C25" s="84">
        <v>640.0</v>
      </c>
      <c r="D25" s="85"/>
      <c r="E25" s="96"/>
      <c r="F25" s="85"/>
      <c r="G25" s="83" t="s">
        <v>11</v>
      </c>
      <c r="H25" s="85"/>
      <c r="I25" s="85"/>
      <c r="J25" s="96"/>
      <c r="K25" s="96"/>
      <c r="L25" s="84">
        <f t="shared" si="3"/>
        <v>0</v>
      </c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</row>
    <row r="26">
      <c r="A26" s="82">
        <v>224.0</v>
      </c>
      <c r="B26" s="85"/>
      <c r="C26" s="84">
        <v>640.0</v>
      </c>
      <c r="D26" s="85"/>
      <c r="E26" s="96"/>
      <c r="F26" s="85"/>
      <c r="G26" s="83" t="s">
        <v>11</v>
      </c>
      <c r="H26" s="85"/>
      <c r="I26" s="103"/>
      <c r="J26" s="96"/>
      <c r="K26" s="96"/>
      <c r="L26" s="84">
        <f t="shared" si="3"/>
        <v>0</v>
      </c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</row>
    <row r="27">
      <c r="A27" s="8">
        <v>225.0</v>
      </c>
      <c r="B27" s="7" t="s">
        <v>93</v>
      </c>
      <c r="C27" s="42">
        <v>600.0</v>
      </c>
      <c r="D27" s="8">
        <v>3.0</v>
      </c>
      <c r="E27" s="43"/>
      <c r="G27" s="7" t="s">
        <v>8</v>
      </c>
      <c r="I27" s="7" t="s">
        <v>249</v>
      </c>
      <c r="J27" s="42">
        <v>600.0</v>
      </c>
      <c r="K27" s="58">
        <v>600.0</v>
      </c>
      <c r="L27" s="42">
        <v>0.0</v>
      </c>
      <c r="M27" s="49">
        <v>45863.0</v>
      </c>
      <c r="N27" s="7">
        <v>8521.0</v>
      </c>
      <c r="O27" s="7" t="s">
        <v>80</v>
      </c>
      <c r="Q27" s="47">
        <v>45869.0</v>
      </c>
      <c r="R27" s="7">
        <v>8528.0</v>
      </c>
      <c r="S27" s="49">
        <v>45875.0</v>
      </c>
      <c r="T27" s="7">
        <v>8541.0</v>
      </c>
      <c r="U27" s="7" t="s">
        <v>366</v>
      </c>
    </row>
    <row r="28">
      <c r="A28" s="66">
        <v>226.0</v>
      </c>
      <c r="B28" s="69"/>
      <c r="C28" s="68">
        <v>600.0</v>
      </c>
      <c r="D28" s="66"/>
      <c r="E28" s="68"/>
      <c r="F28" s="69"/>
      <c r="G28" s="67" t="s">
        <v>8</v>
      </c>
      <c r="H28" s="69"/>
      <c r="I28" s="67" t="s">
        <v>253</v>
      </c>
      <c r="J28" s="68"/>
      <c r="K28" s="73"/>
      <c r="L28" s="68">
        <f t="shared" ref="L28:L32" si="4">SUM(J28-K28)</f>
        <v>0</v>
      </c>
      <c r="M28" s="104">
        <v>45870.0</v>
      </c>
      <c r="N28" s="67">
        <v>8536.0</v>
      </c>
      <c r="O28" s="67" t="s">
        <v>140</v>
      </c>
      <c r="P28" s="69"/>
      <c r="Q28" s="76"/>
      <c r="R28" s="67"/>
      <c r="S28" s="69"/>
      <c r="T28" s="69"/>
      <c r="U28" s="69"/>
      <c r="V28" s="69"/>
      <c r="W28" s="69"/>
      <c r="X28" s="69"/>
      <c r="Y28" s="69"/>
      <c r="Z28" s="69"/>
      <c r="AA28" s="69"/>
      <c r="AB28" s="69"/>
    </row>
    <row r="29">
      <c r="A29" s="8">
        <v>227.0</v>
      </c>
      <c r="B29" s="7" t="s">
        <v>101</v>
      </c>
      <c r="C29" s="42">
        <v>600.0</v>
      </c>
      <c r="D29" s="8">
        <v>1.0</v>
      </c>
      <c r="E29" s="43"/>
      <c r="G29" s="7" t="s">
        <v>8</v>
      </c>
      <c r="I29" s="7" t="s">
        <v>253</v>
      </c>
      <c r="J29" s="42">
        <v>600.0</v>
      </c>
      <c r="K29" s="59">
        <v>600.0</v>
      </c>
      <c r="L29" s="42">
        <f t="shared" si="4"/>
        <v>0</v>
      </c>
      <c r="M29" s="10">
        <v>45870.0</v>
      </c>
      <c r="N29" s="7">
        <v>8532.0</v>
      </c>
      <c r="O29" s="7" t="s">
        <v>140</v>
      </c>
    </row>
    <row r="30">
      <c r="A30" s="8">
        <v>228.0</v>
      </c>
      <c r="B30" s="7" t="s">
        <v>29</v>
      </c>
      <c r="C30" s="42">
        <v>600.0</v>
      </c>
      <c r="D30" s="8">
        <v>2.0</v>
      </c>
      <c r="E30" s="42"/>
      <c r="G30" s="7" t="s">
        <v>8</v>
      </c>
      <c r="I30" s="7" t="s">
        <v>266</v>
      </c>
      <c r="J30" s="42">
        <v>600.0</v>
      </c>
      <c r="K30" s="58">
        <v>600.0</v>
      </c>
      <c r="L30" s="42">
        <f t="shared" si="4"/>
        <v>0</v>
      </c>
      <c r="M30" s="47">
        <v>45863.0</v>
      </c>
      <c r="N30" s="7">
        <v>8523.0</v>
      </c>
      <c r="O30" s="7" t="s">
        <v>341</v>
      </c>
      <c r="Q30" s="47">
        <v>45877.0</v>
      </c>
      <c r="R30" s="7">
        <v>8545.0</v>
      </c>
    </row>
    <row r="31">
      <c r="A31" s="8">
        <v>229.0</v>
      </c>
      <c r="B31" s="7" t="s">
        <v>71</v>
      </c>
      <c r="C31" s="42">
        <v>600.0</v>
      </c>
      <c r="D31" s="8">
        <v>2.0</v>
      </c>
      <c r="E31" s="43"/>
      <c r="G31" s="7" t="s">
        <v>11</v>
      </c>
      <c r="I31" s="7" t="s">
        <v>249</v>
      </c>
      <c r="J31" s="42">
        <v>620.0</v>
      </c>
      <c r="K31" s="59">
        <v>620.0</v>
      </c>
      <c r="L31" s="42">
        <f t="shared" si="4"/>
        <v>0</v>
      </c>
      <c r="M31" s="47">
        <v>45863.0</v>
      </c>
      <c r="N31" s="7">
        <v>8522.0</v>
      </c>
      <c r="O31" s="7" t="s">
        <v>140</v>
      </c>
      <c r="Q31" s="47">
        <v>45877.0</v>
      </c>
      <c r="R31" s="7">
        <v>8544.0</v>
      </c>
    </row>
    <row r="32">
      <c r="A32" s="8">
        <v>230.0</v>
      </c>
      <c r="B32" s="7" t="s">
        <v>107</v>
      </c>
      <c r="C32" s="42">
        <v>600.0</v>
      </c>
      <c r="D32" s="8">
        <v>1.0</v>
      </c>
      <c r="E32" s="43"/>
      <c r="G32" s="7" t="s">
        <v>8</v>
      </c>
      <c r="I32" s="7" t="s">
        <v>249</v>
      </c>
      <c r="J32" s="42">
        <v>600.0</v>
      </c>
      <c r="K32" s="58">
        <v>600.0</v>
      </c>
      <c r="L32" s="42">
        <f t="shared" si="4"/>
        <v>0</v>
      </c>
      <c r="M32" s="47">
        <v>45863.0</v>
      </c>
      <c r="N32" s="7">
        <v>8520.0</v>
      </c>
      <c r="O32" s="7" t="s">
        <v>140</v>
      </c>
      <c r="Q32" s="47">
        <v>45870.0</v>
      </c>
      <c r="R32" s="7">
        <v>8535.0</v>
      </c>
      <c r="S32" s="47"/>
      <c r="U32" s="47"/>
    </row>
    <row r="34">
      <c r="A34" s="12" t="s">
        <v>197</v>
      </c>
      <c r="B34" s="17"/>
      <c r="C34" s="63">
        <f>SUM(C2:C32)</f>
        <v>19310</v>
      </c>
      <c r="D34" s="17"/>
      <c r="E34" s="63">
        <f>SUM(E2:E32)</f>
        <v>500</v>
      </c>
      <c r="F34" s="17"/>
      <c r="G34" s="17">
        <f t="array" ref="G34">COUNTIF(G2:G32,"y")</f>
        <v>21</v>
      </c>
      <c r="H34" s="17"/>
      <c r="I34" s="17"/>
      <c r="J34" s="63">
        <f t="shared" ref="J34:L34" si="5">SUM(J2:J32)</f>
        <v>13470</v>
      </c>
      <c r="K34" s="63">
        <f t="shared" si="5"/>
        <v>12480</v>
      </c>
      <c r="L34" s="63">
        <f t="shared" si="5"/>
        <v>990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6">
      <c r="G36" s="7" t="s">
        <v>358</v>
      </c>
    </row>
    <row r="37">
      <c r="A37" s="18" t="s">
        <v>34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>
      <c r="A38" s="20" t="s">
        <v>198</v>
      </c>
      <c r="B38" s="20" t="s">
        <v>121</v>
      </c>
      <c r="C38" s="21"/>
      <c r="D38" s="20" t="s">
        <v>199</v>
      </c>
      <c r="E38" s="20">
        <v>1.0</v>
      </c>
      <c r="F38" s="20">
        <v>2.0</v>
      </c>
      <c r="G38" s="20">
        <v>3.0</v>
      </c>
      <c r="H38" s="20">
        <v>4.0</v>
      </c>
      <c r="I38" s="20"/>
      <c r="J38" s="20">
        <v>5.0</v>
      </c>
      <c r="K38" s="20">
        <v>6.0</v>
      </c>
      <c r="L38" s="20">
        <v>7.0</v>
      </c>
      <c r="M38" s="20">
        <v>8.0</v>
      </c>
      <c r="N38" s="20">
        <v>9.0</v>
      </c>
      <c r="O38" s="22" t="s">
        <v>200</v>
      </c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>
      <c r="A39" s="7" t="s">
        <v>122</v>
      </c>
      <c r="B39" s="42">
        <f>O47</f>
        <v>3800</v>
      </c>
      <c r="D39" s="7" t="s">
        <v>61</v>
      </c>
      <c r="E39" s="7">
        <v>250.0</v>
      </c>
      <c r="F39" s="7">
        <v>250.0</v>
      </c>
      <c r="G39" s="7">
        <v>250.0</v>
      </c>
      <c r="H39" s="7">
        <v>250.0</v>
      </c>
      <c r="O39" s="17">
        <f t="shared" ref="O39:O46" si="6">SUM(E39:N39)</f>
        <v>1000</v>
      </c>
    </row>
    <row r="40">
      <c r="A40" s="7" t="s">
        <v>123</v>
      </c>
      <c r="B40" s="42">
        <v>0.0</v>
      </c>
      <c r="D40" s="7" t="s">
        <v>201</v>
      </c>
      <c r="E40" s="7">
        <v>200.0</v>
      </c>
      <c r="F40" s="7">
        <v>200.0</v>
      </c>
      <c r="G40" s="7">
        <v>200.0</v>
      </c>
      <c r="H40" s="7">
        <v>200.0</v>
      </c>
      <c r="O40" s="17">
        <f t="shared" si="6"/>
        <v>800</v>
      </c>
    </row>
    <row r="41">
      <c r="A41" s="7" t="s">
        <v>124</v>
      </c>
      <c r="B41" s="42">
        <v>876.0</v>
      </c>
      <c r="D41" s="7" t="s">
        <v>205</v>
      </c>
      <c r="E41" s="7"/>
      <c r="O41" s="17">
        <f t="shared" si="6"/>
        <v>0</v>
      </c>
    </row>
    <row r="42">
      <c r="A42" s="7" t="s">
        <v>125</v>
      </c>
      <c r="B42" s="42">
        <v>385.0</v>
      </c>
      <c r="D42" s="7" t="s">
        <v>203</v>
      </c>
      <c r="O42" s="17">
        <f t="shared" si="6"/>
        <v>0</v>
      </c>
    </row>
    <row r="43">
      <c r="A43" s="7" t="s">
        <v>126</v>
      </c>
      <c r="B43" s="42">
        <v>280.0</v>
      </c>
      <c r="D43" s="7" t="s">
        <v>204</v>
      </c>
      <c r="O43" s="17">
        <f t="shared" si="6"/>
        <v>0</v>
      </c>
    </row>
    <row r="44">
      <c r="A44" s="7" t="s">
        <v>128</v>
      </c>
      <c r="B44" s="42">
        <v>795.0</v>
      </c>
      <c r="D44" s="7" t="s">
        <v>297</v>
      </c>
      <c r="E44" s="7">
        <v>500.0</v>
      </c>
      <c r="F44" s="7">
        <v>500.0</v>
      </c>
      <c r="G44" s="7">
        <v>500.0</v>
      </c>
      <c r="H44" s="7">
        <v>500.0</v>
      </c>
      <c r="O44" s="17">
        <f t="shared" si="6"/>
        <v>2000</v>
      </c>
    </row>
    <row r="45">
      <c r="A45" s="7" t="s">
        <v>129</v>
      </c>
      <c r="B45" s="42">
        <v>1000.0</v>
      </c>
      <c r="D45" s="7"/>
      <c r="O45" s="17">
        <f t="shared" si="6"/>
        <v>0</v>
      </c>
    </row>
    <row r="46">
      <c r="A46" s="7" t="s">
        <v>207</v>
      </c>
      <c r="B46" s="42">
        <v>828.78</v>
      </c>
      <c r="D46" s="7"/>
      <c r="E46" s="7"/>
      <c r="F46" s="7"/>
      <c r="G46" s="7"/>
      <c r="H46" s="7"/>
      <c r="J46" s="7"/>
      <c r="K46" s="7"/>
      <c r="O46" s="17">
        <f t="shared" si="6"/>
        <v>0</v>
      </c>
    </row>
    <row r="47">
      <c r="A47" s="7" t="s">
        <v>208</v>
      </c>
      <c r="B47" s="43">
        <f>E78</f>
        <v>0</v>
      </c>
      <c r="O47" s="17">
        <f>SUM(O39:O46)</f>
        <v>3800</v>
      </c>
    </row>
    <row r="48">
      <c r="B48" s="43"/>
    </row>
    <row r="49">
      <c r="A49" s="7" t="s">
        <v>200</v>
      </c>
      <c r="B49" s="43">
        <f>SUM(B39:B47)</f>
        <v>7964.78</v>
      </c>
    </row>
    <row r="50">
      <c r="A50" s="17"/>
      <c r="B50" s="17"/>
      <c r="C50" s="17"/>
      <c r="D50" s="22" t="s">
        <v>209</v>
      </c>
      <c r="E50" s="22" t="s">
        <v>121</v>
      </c>
      <c r="F50" s="22" t="s">
        <v>210</v>
      </c>
      <c r="G50" s="22" t="s">
        <v>211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>
      <c r="B51" s="7" t="s">
        <v>347</v>
      </c>
      <c r="C51" s="7" t="s">
        <v>348</v>
      </c>
    </row>
    <row r="52">
      <c r="A52" s="7" t="s">
        <v>214</v>
      </c>
      <c r="B52" s="42">
        <f t="shared" ref="B52:C52" si="7">J34</f>
        <v>13470</v>
      </c>
      <c r="C52" s="42">
        <f t="shared" si="7"/>
        <v>12480</v>
      </c>
      <c r="E52" s="42"/>
    </row>
    <row r="53">
      <c r="A53" s="7" t="s">
        <v>217</v>
      </c>
      <c r="B53" s="43">
        <f>B49</f>
        <v>7964.78</v>
      </c>
      <c r="C53" s="43">
        <f>B49</f>
        <v>7964.78</v>
      </c>
      <c r="E53" s="42"/>
    </row>
    <row r="54">
      <c r="E54" s="42"/>
    </row>
    <row r="55">
      <c r="A55" s="44" t="s">
        <v>221</v>
      </c>
      <c r="B55" s="74">
        <f>B52-B53</f>
        <v>5505.22</v>
      </c>
      <c r="C55" s="74">
        <f>SUM(C52-C53)</f>
        <v>4515.22</v>
      </c>
      <c r="D55" s="75"/>
      <c r="E55" s="42"/>
    </row>
    <row r="56">
      <c r="E56" s="43"/>
    </row>
    <row r="57">
      <c r="A57" s="7" t="s">
        <v>361</v>
      </c>
      <c r="E57" s="43"/>
    </row>
    <row r="58">
      <c r="E58" s="43"/>
    </row>
    <row r="59">
      <c r="E59" s="43"/>
    </row>
    <row r="60">
      <c r="E60" s="43"/>
    </row>
    <row r="61">
      <c r="E61" s="43"/>
    </row>
    <row r="62">
      <c r="E62" s="43"/>
    </row>
    <row r="63">
      <c r="E63" s="42"/>
    </row>
    <row r="64">
      <c r="E64" s="42"/>
    </row>
    <row r="65">
      <c r="E65" s="42"/>
    </row>
    <row r="66">
      <c r="E66" s="43"/>
    </row>
    <row r="67">
      <c r="E67" s="43"/>
    </row>
    <row r="68">
      <c r="E68" s="43"/>
    </row>
    <row r="69">
      <c r="E69" s="43"/>
    </row>
    <row r="70">
      <c r="E70" s="43"/>
    </row>
    <row r="71">
      <c r="E71" s="43"/>
    </row>
    <row r="72">
      <c r="E72" s="43"/>
    </row>
    <row r="73">
      <c r="E73" s="43"/>
    </row>
    <row r="74">
      <c r="E74" s="43"/>
    </row>
    <row r="75">
      <c r="E75" s="43"/>
    </row>
    <row r="76">
      <c r="D76" s="7"/>
      <c r="E76" s="43"/>
    </row>
    <row r="77">
      <c r="D77" s="7"/>
      <c r="E77" s="43"/>
    </row>
    <row r="78">
      <c r="D78" s="7" t="s">
        <v>200</v>
      </c>
      <c r="E78" s="43">
        <f>SUM(E51:E74)</f>
        <v>0</v>
      </c>
    </row>
  </sheetData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13"/>
    <col customWidth="1" min="2" max="2" width="26.13"/>
    <col customWidth="1" min="4" max="4" width="8.75"/>
    <col customWidth="1" min="5" max="5" width="10.25"/>
    <col customWidth="1" min="6" max="6" width="11.88"/>
    <col customWidth="1" min="7" max="7" width="10.13"/>
    <col customWidth="1" min="8" max="8" width="26.88"/>
    <col customWidth="1" min="9" max="9" width="12.0"/>
    <col customWidth="1" min="10" max="10" width="10.25"/>
    <col customWidth="1" min="11" max="11" width="21.0"/>
    <col customWidth="1" min="12" max="12" width="19.25"/>
    <col customWidth="1" min="13" max="13" width="15.63"/>
    <col customWidth="1" min="14" max="14" width="17.88"/>
    <col customWidth="1" min="15" max="15" width="19.0"/>
    <col customWidth="1" min="18" max="18" width="19.38"/>
    <col customWidth="1" min="19" max="19" width="17.25"/>
  </cols>
  <sheetData>
    <row r="1">
      <c r="A1" s="44" t="s">
        <v>367</v>
      </c>
      <c r="B1" s="44" t="s">
        <v>37</v>
      </c>
      <c r="C1" s="44" t="s">
        <v>2</v>
      </c>
      <c r="D1" s="44" t="s">
        <v>38</v>
      </c>
      <c r="E1" s="44" t="s">
        <v>39</v>
      </c>
      <c r="F1" s="44" t="s">
        <v>40</v>
      </c>
      <c r="G1" s="44" t="s">
        <v>3</v>
      </c>
      <c r="H1" s="44" t="s">
        <v>7</v>
      </c>
      <c r="I1" s="44" t="s">
        <v>246</v>
      </c>
      <c r="J1" s="44" t="s">
        <v>41</v>
      </c>
      <c r="K1" s="44" t="s">
        <v>368</v>
      </c>
      <c r="L1" s="44" t="s">
        <v>43</v>
      </c>
      <c r="M1" s="44" t="s">
        <v>44</v>
      </c>
      <c r="N1" s="44" t="s">
        <v>45</v>
      </c>
      <c r="O1" s="44" t="s">
        <v>46</v>
      </c>
      <c r="P1" s="44" t="s">
        <v>47</v>
      </c>
      <c r="Q1" s="44" t="s">
        <v>247</v>
      </c>
      <c r="R1" s="12" t="s">
        <v>333</v>
      </c>
      <c r="S1" s="12" t="s">
        <v>334</v>
      </c>
      <c r="T1" s="12" t="s">
        <v>335</v>
      </c>
      <c r="U1" s="12" t="s">
        <v>336</v>
      </c>
      <c r="V1" s="12" t="s">
        <v>337</v>
      </c>
      <c r="W1" s="13"/>
      <c r="X1" s="13"/>
      <c r="Y1" s="13"/>
      <c r="Z1" s="13"/>
      <c r="AA1" s="13"/>
      <c r="AB1" s="13"/>
    </row>
    <row r="2">
      <c r="A2" s="60">
        <v>100.0</v>
      </c>
      <c r="B2" s="14" t="s">
        <v>352</v>
      </c>
      <c r="C2" s="61">
        <v>640.0</v>
      </c>
      <c r="D2" s="60"/>
      <c r="E2" s="95"/>
      <c r="F2" s="15"/>
      <c r="G2" s="14" t="s">
        <v>8</v>
      </c>
      <c r="H2" s="15"/>
      <c r="I2" s="14" t="s">
        <v>266</v>
      </c>
      <c r="J2" s="61">
        <f>Sum(C2+E2)</f>
        <v>640</v>
      </c>
      <c r="K2" s="61">
        <v>320.0</v>
      </c>
      <c r="L2" s="61">
        <f t="shared" ref="L2:L10" si="1">SUM(J2-K2)</f>
        <v>320</v>
      </c>
      <c r="M2" s="64">
        <v>45870.0</v>
      </c>
      <c r="N2" s="14">
        <v>8534.0</v>
      </c>
      <c r="O2" s="14" t="s">
        <v>341</v>
      </c>
      <c r="P2" s="15"/>
      <c r="Q2" s="64">
        <v>45855.0</v>
      </c>
      <c r="R2" s="14">
        <v>8510.0</v>
      </c>
      <c r="S2" s="64"/>
      <c r="T2" s="15"/>
      <c r="U2" s="64"/>
      <c r="V2" s="15"/>
      <c r="W2" s="15"/>
      <c r="X2" s="15"/>
      <c r="Y2" s="15"/>
      <c r="Z2" s="15"/>
      <c r="AA2" s="15"/>
      <c r="AB2" s="15"/>
    </row>
    <row r="3">
      <c r="A3" s="8">
        <v>101.0</v>
      </c>
      <c r="B3" s="7" t="s">
        <v>10</v>
      </c>
      <c r="C3" s="42">
        <v>640.0</v>
      </c>
      <c r="D3" s="8"/>
      <c r="E3" s="43"/>
      <c r="G3" s="7" t="s">
        <v>8</v>
      </c>
      <c r="I3" s="7" t="s">
        <v>253</v>
      </c>
      <c r="J3" s="42">
        <f t="shared" ref="J3:J4" si="2">sum(C3+E3)</f>
        <v>640</v>
      </c>
      <c r="K3" s="42">
        <v>640.0</v>
      </c>
      <c r="L3" s="42">
        <f t="shared" si="1"/>
        <v>0</v>
      </c>
      <c r="M3" s="10">
        <v>45870.0</v>
      </c>
      <c r="N3" s="7">
        <v>8530.0</v>
      </c>
      <c r="O3" s="7" t="s">
        <v>140</v>
      </c>
    </row>
    <row r="4">
      <c r="A4" s="8">
        <v>102.0</v>
      </c>
      <c r="B4" s="7" t="s">
        <v>362</v>
      </c>
      <c r="C4" s="42">
        <v>600.0</v>
      </c>
      <c r="D4" s="8"/>
      <c r="E4" s="42"/>
      <c r="G4" s="7" t="s">
        <v>8</v>
      </c>
      <c r="I4" s="7" t="s">
        <v>253</v>
      </c>
      <c r="J4" s="42">
        <f t="shared" si="2"/>
        <v>600</v>
      </c>
      <c r="K4" s="42">
        <v>600.0</v>
      </c>
      <c r="L4" s="42">
        <f t="shared" si="1"/>
        <v>0</v>
      </c>
      <c r="M4" s="47"/>
    </row>
    <row r="5">
      <c r="A5" s="8">
        <v>103.0</v>
      </c>
      <c r="B5" s="7" t="s">
        <v>13</v>
      </c>
      <c r="C5" s="42">
        <v>640.0</v>
      </c>
      <c r="D5" s="8"/>
      <c r="E5" s="43"/>
      <c r="G5" s="7" t="s">
        <v>8</v>
      </c>
      <c r="I5" s="7" t="s">
        <v>253</v>
      </c>
      <c r="J5" s="42">
        <f>Sum(C5+E5)</f>
        <v>640</v>
      </c>
      <c r="K5" s="42">
        <v>600.0</v>
      </c>
      <c r="L5" s="42">
        <f t="shared" si="1"/>
        <v>40</v>
      </c>
      <c r="M5" s="47"/>
      <c r="Q5" s="47"/>
      <c r="S5" s="47"/>
    </row>
    <row r="6">
      <c r="A6" s="8">
        <v>104.0</v>
      </c>
      <c r="B6" s="7" t="s">
        <v>81</v>
      </c>
      <c r="C6" s="42">
        <v>640.0</v>
      </c>
      <c r="D6" s="8"/>
      <c r="E6" s="42"/>
      <c r="F6" s="7"/>
      <c r="G6" s="7" t="s">
        <v>8</v>
      </c>
      <c r="I6" s="7" t="s">
        <v>253</v>
      </c>
      <c r="J6" s="42">
        <f t="shared" ref="J6:J25" si="3">sum(C6+E6)</f>
        <v>640</v>
      </c>
      <c r="K6" s="42">
        <v>640.0</v>
      </c>
      <c r="L6" s="42">
        <f t="shared" si="1"/>
        <v>0</v>
      </c>
      <c r="M6" s="47">
        <v>45863.0</v>
      </c>
      <c r="N6" s="7">
        <v>8525.0</v>
      </c>
      <c r="O6" s="7" t="s">
        <v>80</v>
      </c>
      <c r="P6" s="7"/>
      <c r="Q6" s="55"/>
    </row>
    <row r="7">
      <c r="A7" s="60">
        <v>105.0</v>
      </c>
      <c r="B7" s="14" t="s">
        <v>146</v>
      </c>
      <c r="C7" s="61">
        <v>640.0</v>
      </c>
      <c r="D7" s="60"/>
      <c r="E7" s="61">
        <v>840.0</v>
      </c>
      <c r="F7" s="15"/>
      <c r="G7" s="14" t="s">
        <v>8</v>
      </c>
      <c r="H7" s="14" t="s">
        <v>369</v>
      </c>
      <c r="I7" s="14" t="s">
        <v>249</v>
      </c>
      <c r="J7" s="61">
        <f t="shared" si="3"/>
        <v>1480</v>
      </c>
      <c r="K7" s="61">
        <v>1300.0</v>
      </c>
      <c r="L7" s="61">
        <f t="shared" si="1"/>
        <v>180</v>
      </c>
      <c r="M7" s="64"/>
      <c r="N7" s="15"/>
      <c r="O7" s="14" t="s">
        <v>140</v>
      </c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>
      <c r="A8" s="8">
        <v>106.0</v>
      </c>
      <c r="B8" s="7" t="s">
        <v>363</v>
      </c>
      <c r="C8" s="42">
        <v>640.0</v>
      </c>
      <c r="E8" s="42"/>
      <c r="G8" s="7" t="s">
        <v>8</v>
      </c>
      <c r="I8" s="7" t="s">
        <v>249</v>
      </c>
      <c r="J8" s="42">
        <f t="shared" si="3"/>
        <v>640</v>
      </c>
      <c r="K8" s="42">
        <v>640.0</v>
      </c>
      <c r="L8" s="42">
        <f t="shared" si="1"/>
        <v>0</v>
      </c>
      <c r="P8" s="7" t="s">
        <v>364</v>
      </c>
    </row>
    <row r="9">
      <c r="A9" s="82">
        <v>107.0</v>
      </c>
      <c r="B9" s="85"/>
      <c r="C9" s="84">
        <v>640.0</v>
      </c>
      <c r="D9" s="85"/>
      <c r="E9" s="84">
        <v>-640.0</v>
      </c>
      <c r="F9" s="85"/>
      <c r="G9" s="83" t="s">
        <v>11</v>
      </c>
      <c r="H9" s="85"/>
      <c r="I9" s="85"/>
      <c r="J9" s="96">
        <f t="shared" si="3"/>
        <v>0</v>
      </c>
      <c r="K9" s="96"/>
      <c r="L9" s="84">
        <f t="shared" si="1"/>
        <v>0</v>
      </c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</row>
    <row r="10">
      <c r="A10" s="82">
        <v>108.0</v>
      </c>
      <c r="B10" s="85"/>
      <c r="C10" s="84">
        <v>640.0</v>
      </c>
      <c r="D10" s="85"/>
      <c r="E10" s="84">
        <v>-640.0</v>
      </c>
      <c r="F10" s="85"/>
      <c r="G10" s="83" t="s">
        <v>11</v>
      </c>
      <c r="H10" s="85"/>
      <c r="I10" s="85"/>
      <c r="J10" s="96">
        <f t="shared" si="3"/>
        <v>0</v>
      </c>
      <c r="K10" s="84"/>
      <c r="L10" s="84">
        <f t="shared" si="1"/>
        <v>0</v>
      </c>
      <c r="M10" s="93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</row>
    <row r="11">
      <c r="A11" s="8">
        <v>109.0</v>
      </c>
      <c r="B11" s="7" t="s">
        <v>339</v>
      </c>
      <c r="C11" s="42">
        <v>600.0</v>
      </c>
      <c r="D11" s="8"/>
      <c r="E11" s="43"/>
      <c r="G11" s="7" t="s">
        <v>8</v>
      </c>
      <c r="I11" s="7" t="s">
        <v>249</v>
      </c>
      <c r="J11" s="42">
        <f t="shared" si="3"/>
        <v>600</v>
      </c>
      <c r="K11" s="42">
        <v>600.0</v>
      </c>
      <c r="L11" s="42">
        <f>sum(J11-K11)</f>
        <v>0</v>
      </c>
      <c r="M11" s="47">
        <v>45862.0</v>
      </c>
      <c r="N11" s="7">
        <v>8518.0</v>
      </c>
      <c r="Q11" s="47">
        <v>45870.0</v>
      </c>
      <c r="R11" s="7">
        <v>8527.0</v>
      </c>
      <c r="S11" s="47">
        <v>45876.0</v>
      </c>
      <c r="T11" s="7">
        <v>8542.0</v>
      </c>
      <c r="U11" s="47"/>
      <c r="V11" s="7">
        <v>8512.0</v>
      </c>
    </row>
    <row r="12">
      <c r="A12" s="50">
        <v>110.0</v>
      </c>
      <c r="B12" s="51" t="s">
        <v>62</v>
      </c>
      <c r="C12" s="53">
        <v>600.0</v>
      </c>
      <c r="D12" s="51"/>
      <c r="E12" s="53">
        <v>600.0</v>
      </c>
      <c r="F12" s="52"/>
      <c r="G12" s="51" t="s">
        <v>8</v>
      </c>
      <c r="H12" s="52"/>
      <c r="I12" s="51" t="s">
        <v>249</v>
      </c>
      <c r="J12" s="53">
        <f t="shared" si="3"/>
        <v>1200</v>
      </c>
      <c r="K12" s="53"/>
      <c r="L12" s="53">
        <f t="shared" ref="L12:L13" si="4">SUM(J12-K12)</f>
        <v>1200</v>
      </c>
      <c r="M12" s="105">
        <v>45870.0</v>
      </c>
      <c r="N12" s="51">
        <v>8537.0</v>
      </c>
      <c r="O12" s="51" t="s">
        <v>140</v>
      </c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8">
        <v>111.0</v>
      </c>
      <c r="B13" s="7" t="s">
        <v>19</v>
      </c>
      <c r="C13" s="42">
        <v>600.0</v>
      </c>
      <c r="D13" s="8"/>
      <c r="E13" s="43"/>
      <c r="G13" s="7" t="s">
        <v>8</v>
      </c>
      <c r="I13" s="7" t="s">
        <v>253</v>
      </c>
      <c r="J13" s="42">
        <f t="shared" si="3"/>
        <v>600</v>
      </c>
      <c r="K13" s="42">
        <v>600.0</v>
      </c>
      <c r="L13" s="42">
        <f t="shared" si="4"/>
        <v>0</v>
      </c>
      <c r="M13" s="47">
        <v>45873.0</v>
      </c>
      <c r="N13" s="7">
        <v>8540.0</v>
      </c>
      <c r="O13" s="7" t="s">
        <v>140</v>
      </c>
    </row>
    <row r="14">
      <c r="A14" s="60">
        <v>112.0</v>
      </c>
      <c r="B14" s="14" t="s">
        <v>365</v>
      </c>
      <c r="C14" s="61">
        <v>600.0</v>
      </c>
      <c r="D14" s="60"/>
      <c r="E14" s="61">
        <v>150.0</v>
      </c>
      <c r="F14" s="15"/>
      <c r="G14" s="14" t="s">
        <v>8</v>
      </c>
      <c r="H14" s="15"/>
      <c r="I14" s="14" t="s">
        <v>249</v>
      </c>
      <c r="J14" s="61">
        <f t="shared" si="3"/>
        <v>750</v>
      </c>
      <c r="K14" s="61">
        <v>600.0</v>
      </c>
      <c r="L14" s="61">
        <f t="shared" ref="L14:L16" si="5">sum(J14-K14)</f>
        <v>150</v>
      </c>
      <c r="M14" s="64"/>
      <c r="N14" s="14"/>
      <c r="O14" s="14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>
      <c r="A15" s="8">
        <v>113.0</v>
      </c>
      <c r="B15" s="7" t="s">
        <v>21</v>
      </c>
      <c r="C15" s="42">
        <v>450.0</v>
      </c>
      <c r="D15" s="8"/>
      <c r="E15" s="43"/>
      <c r="G15" s="7" t="s">
        <v>8</v>
      </c>
      <c r="I15" s="7" t="s">
        <v>253</v>
      </c>
      <c r="J15" s="42">
        <f t="shared" si="3"/>
        <v>450</v>
      </c>
      <c r="K15" s="42">
        <v>450.0</v>
      </c>
      <c r="L15" s="42">
        <f t="shared" si="5"/>
        <v>0</v>
      </c>
      <c r="M15" s="49">
        <v>45870.0</v>
      </c>
      <c r="N15" s="7">
        <v>8533.0</v>
      </c>
      <c r="O15" s="7" t="s">
        <v>69</v>
      </c>
    </row>
    <row r="16">
      <c r="A16" s="8">
        <v>114.0</v>
      </c>
      <c r="B16" s="7" t="s">
        <v>354</v>
      </c>
      <c r="C16" s="42">
        <v>600.0</v>
      </c>
      <c r="D16" s="8"/>
      <c r="E16" s="42"/>
      <c r="G16" s="7" t="s">
        <v>8</v>
      </c>
      <c r="I16" s="7" t="s">
        <v>249</v>
      </c>
      <c r="J16" s="42">
        <f t="shared" si="3"/>
        <v>600</v>
      </c>
      <c r="K16" s="42">
        <v>600.0</v>
      </c>
      <c r="L16" s="42">
        <f t="shared" si="5"/>
        <v>0</v>
      </c>
      <c r="M16" s="10">
        <v>45863.0</v>
      </c>
      <c r="N16" s="7">
        <v>8524.0</v>
      </c>
      <c r="O16" s="7" t="s">
        <v>69</v>
      </c>
      <c r="Q16" s="47">
        <v>45849.0</v>
      </c>
      <c r="R16" s="7">
        <v>8506.0</v>
      </c>
      <c r="S16" s="47"/>
    </row>
    <row r="17">
      <c r="A17" s="82">
        <v>215.0</v>
      </c>
      <c r="B17" s="85"/>
      <c r="C17" s="84">
        <v>600.0</v>
      </c>
      <c r="D17" s="82"/>
      <c r="E17" s="84">
        <v>-600.0</v>
      </c>
      <c r="F17" s="85"/>
      <c r="G17" s="83" t="s">
        <v>8</v>
      </c>
      <c r="H17" s="85"/>
      <c r="I17" s="83"/>
      <c r="J17" s="84">
        <f t="shared" si="3"/>
        <v>0</v>
      </c>
      <c r="K17" s="84"/>
      <c r="L17" s="84">
        <f>SUM(J17-K17)</f>
        <v>0</v>
      </c>
      <c r="M17" s="86"/>
      <c r="N17" s="83"/>
      <c r="O17" s="83"/>
      <c r="P17" s="85"/>
      <c r="Q17" s="86">
        <v>45849.0</v>
      </c>
      <c r="R17" s="83">
        <v>8504.0</v>
      </c>
      <c r="S17" s="85"/>
      <c r="T17" s="85"/>
      <c r="U17" s="85"/>
      <c r="V17" s="85"/>
      <c r="W17" s="85"/>
      <c r="X17" s="85"/>
      <c r="Y17" s="85"/>
      <c r="Z17" s="85"/>
      <c r="AA17" s="85"/>
      <c r="AB17" s="85"/>
    </row>
    <row r="18" ht="14.25" customHeight="1">
      <c r="A18" s="8">
        <v>216.0</v>
      </c>
      <c r="B18" s="7" t="s">
        <v>22</v>
      </c>
      <c r="C18" s="42">
        <v>640.0</v>
      </c>
      <c r="D18" s="8"/>
      <c r="E18" s="43"/>
      <c r="G18" s="7" t="s">
        <v>8</v>
      </c>
      <c r="I18" s="7" t="s">
        <v>249</v>
      </c>
      <c r="J18" s="42">
        <f t="shared" si="3"/>
        <v>640</v>
      </c>
      <c r="K18" s="42">
        <v>640.0</v>
      </c>
      <c r="L18" s="42">
        <f>sum(J18-K18)</f>
        <v>0</v>
      </c>
      <c r="M18" s="47">
        <v>45863.0</v>
      </c>
      <c r="N18" s="7">
        <v>8526.0</v>
      </c>
      <c r="O18" s="7" t="s">
        <v>140</v>
      </c>
      <c r="Q18" s="47">
        <v>45870.0</v>
      </c>
      <c r="R18" s="7">
        <v>8531.0</v>
      </c>
      <c r="S18" s="47"/>
      <c r="U18" s="47"/>
    </row>
    <row r="19">
      <c r="A19" s="106">
        <v>217.0</v>
      </c>
      <c r="B19" s="107" t="s">
        <v>370</v>
      </c>
      <c r="C19" s="108">
        <v>640.0</v>
      </c>
      <c r="D19" s="106"/>
      <c r="E19" s="109"/>
      <c r="F19" s="110"/>
      <c r="G19" s="107" t="s">
        <v>11</v>
      </c>
      <c r="H19" s="110"/>
      <c r="I19" s="107"/>
      <c r="J19" s="108">
        <f t="shared" si="3"/>
        <v>640</v>
      </c>
      <c r="K19" s="108">
        <v>640.0</v>
      </c>
      <c r="L19" s="108">
        <f t="shared" ref="L19:L20" si="6">SUM(J19-K19)</f>
        <v>0</v>
      </c>
      <c r="M19" s="111">
        <v>45872.0</v>
      </c>
      <c r="N19" s="107">
        <v>8539.0</v>
      </c>
      <c r="O19" s="107" t="s">
        <v>140</v>
      </c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</row>
    <row r="20">
      <c r="A20" s="82">
        <v>218.0</v>
      </c>
      <c r="B20" s="83"/>
      <c r="C20" s="84">
        <v>640.0</v>
      </c>
      <c r="D20" s="82"/>
      <c r="E20" s="84">
        <v>-640.0</v>
      </c>
      <c r="F20" s="83"/>
      <c r="G20" s="83" t="s">
        <v>11</v>
      </c>
      <c r="H20" s="83"/>
      <c r="I20" s="83"/>
      <c r="J20" s="84">
        <f t="shared" si="3"/>
        <v>0</v>
      </c>
      <c r="K20" s="84"/>
      <c r="L20" s="84">
        <f t="shared" si="6"/>
        <v>0</v>
      </c>
      <c r="M20" s="93"/>
      <c r="N20" s="85"/>
      <c r="O20" s="85"/>
      <c r="P20" s="83"/>
      <c r="Q20" s="94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</row>
    <row r="21">
      <c r="A21" s="8">
        <v>219.0</v>
      </c>
      <c r="B21" s="7" t="s">
        <v>82</v>
      </c>
      <c r="C21" s="42">
        <v>640.0</v>
      </c>
      <c r="D21" s="8"/>
      <c r="E21" s="43"/>
      <c r="G21" s="7" t="s">
        <v>8</v>
      </c>
      <c r="I21" s="7" t="s">
        <v>266</v>
      </c>
      <c r="J21" s="42">
        <f t="shared" si="3"/>
        <v>640</v>
      </c>
      <c r="K21" s="42">
        <v>640.0</v>
      </c>
      <c r="L21" s="42">
        <f>sum(J21-K21)</f>
        <v>0</v>
      </c>
      <c r="M21" s="47">
        <v>45863.0</v>
      </c>
      <c r="N21" s="7">
        <v>8519.0</v>
      </c>
      <c r="O21" s="7" t="s">
        <v>80</v>
      </c>
      <c r="Q21" s="47"/>
    </row>
    <row r="22">
      <c r="A22" s="60">
        <v>220.0</v>
      </c>
      <c r="B22" s="14" t="s">
        <v>345</v>
      </c>
      <c r="C22" s="61">
        <v>650.0</v>
      </c>
      <c r="D22" s="60"/>
      <c r="E22" s="61">
        <v>325.0</v>
      </c>
      <c r="F22" s="15"/>
      <c r="G22" s="14" t="s">
        <v>8</v>
      </c>
      <c r="H22" s="15"/>
      <c r="I22" s="14" t="s">
        <v>249</v>
      </c>
      <c r="J22" s="61">
        <f t="shared" si="3"/>
        <v>975</v>
      </c>
      <c r="K22" s="61">
        <v>975.0</v>
      </c>
      <c r="L22" s="61">
        <f t="shared" ref="L22:L26" si="7">SUM(J22-K22)</f>
        <v>0</v>
      </c>
      <c r="M22" s="64">
        <v>45870.0</v>
      </c>
      <c r="N22" s="14">
        <v>8538.0</v>
      </c>
      <c r="O22" s="14" t="s">
        <v>140</v>
      </c>
      <c r="P22" s="15"/>
      <c r="Q22" s="64">
        <v>45877.0</v>
      </c>
      <c r="R22" s="14">
        <v>8547.0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>
      <c r="A23" s="8">
        <v>221.0</v>
      </c>
      <c r="B23" s="7" t="s">
        <v>25</v>
      </c>
      <c r="C23" s="42">
        <v>650.0</v>
      </c>
      <c r="D23" s="8"/>
      <c r="E23" s="43"/>
      <c r="G23" s="7" t="s">
        <v>8</v>
      </c>
      <c r="H23" s="7" t="s">
        <v>371</v>
      </c>
      <c r="I23" s="7" t="s">
        <v>253</v>
      </c>
      <c r="J23" s="42">
        <f t="shared" si="3"/>
        <v>650</v>
      </c>
      <c r="K23" s="42">
        <v>650.0</v>
      </c>
      <c r="L23" s="42">
        <f t="shared" si="7"/>
        <v>0</v>
      </c>
      <c r="M23" s="10">
        <v>45869.0</v>
      </c>
      <c r="N23" s="7">
        <v>8529.0</v>
      </c>
      <c r="O23" s="7" t="s">
        <v>140</v>
      </c>
      <c r="Q23" s="47"/>
    </row>
    <row r="24">
      <c r="A24" s="8">
        <v>222.0</v>
      </c>
      <c r="B24" s="7" t="s">
        <v>372</v>
      </c>
      <c r="C24" s="42">
        <v>640.0</v>
      </c>
      <c r="E24" s="42"/>
      <c r="G24" s="7" t="s">
        <v>11</v>
      </c>
      <c r="I24" s="7"/>
      <c r="J24" s="42">
        <f t="shared" si="3"/>
        <v>640</v>
      </c>
      <c r="K24" s="42">
        <v>640.0</v>
      </c>
      <c r="L24" s="42">
        <f t="shared" si="7"/>
        <v>0</v>
      </c>
      <c r="Q24" s="47"/>
      <c r="S24" s="47"/>
    </row>
    <row r="25">
      <c r="A25" s="82">
        <v>223.0</v>
      </c>
      <c r="B25" s="85"/>
      <c r="C25" s="84">
        <v>640.0</v>
      </c>
      <c r="D25" s="85"/>
      <c r="E25" s="84">
        <v>-640.0</v>
      </c>
      <c r="F25" s="85"/>
      <c r="G25" s="83" t="s">
        <v>11</v>
      </c>
      <c r="H25" s="85"/>
      <c r="I25" s="85"/>
      <c r="J25" s="96">
        <f t="shared" si="3"/>
        <v>0</v>
      </c>
      <c r="K25" s="96"/>
      <c r="L25" s="84">
        <f t="shared" si="7"/>
        <v>0</v>
      </c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</row>
    <row r="26">
      <c r="A26" s="82">
        <v>224.0</v>
      </c>
      <c r="B26" s="85"/>
      <c r="C26" s="84">
        <v>640.0</v>
      </c>
      <c r="D26" s="85"/>
      <c r="E26" s="84">
        <v>-640.0</v>
      </c>
      <c r="F26" s="85"/>
      <c r="G26" s="83" t="s">
        <v>11</v>
      </c>
      <c r="H26" s="85"/>
      <c r="I26" s="103"/>
      <c r="J26" s="96">
        <f>Sum(C26+E26)</f>
        <v>0</v>
      </c>
      <c r="K26" s="96"/>
      <c r="L26" s="84">
        <f t="shared" si="7"/>
        <v>0</v>
      </c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</row>
    <row r="27">
      <c r="A27" s="8">
        <v>225.0</v>
      </c>
      <c r="B27" s="7" t="s">
        <v>93</v>
      </c>
      <c r="C27" s="42">
        <v>600.0</v>
      </c>
      <c r="D27" s="8"/>
      <c r="E27" s="42">
        <v>-280.0</v>
      </c>
      <c r="G27" s="7" t="s">
        <v>8</v>
      </c>
      <c r="H27" s="7" t="s">
        <v>373</v>
      </c>
      <c r="I27" s="7" t="s">
        <v>249</v>
      </c>
      <c r="J27" s="42">
        <f t="shared" ref="J27:J32" si="8">sum(C27+E27)</f>
        <v>320</v>
      </c>
      <c r="K27" s="58">
        <v>320.0</v>
      </c>
      <c r="L27" s="42">
        <f>sum(J27-K27)</f>
        <v>0</v>
      </c>
      <c r="M27" s="49">
        <v>45863.0</v>
      </c>
      <c r="N27" s="7">
        <v>8521.0</v>
      </c>
      <c r="O27" s="7" t="s">
        <v>80</v>
      </c>
      <c r="Q27" s="47">
        <v>45869.0</v>
      </c>
      <c r="R27" s="7">
        <v>8528.0</v>
      </c>
      <c r="S27" s="49">
        <v>45875.0</v>
      </c>
      <c r="T27" s="7">
        <v>8541.0</v>
      </c>
      <c r="U27" s="7" t="s">
        <v>366</v>
      </c>
    </row>
    <row r="28">
      <c r="A28" s="66">
        <v>226.0</v>
      </c>
      <c r="B28" s="69"/>
      <c r="C28" s="68">
        <v>600.0</v>
      </c>
      <c r="D28" s="66"/>
      <c r="E28" s="68">
        <v>-600.0</v>
      </c>
      <c r="F28" s="69"/>
      <c r="G28" s="67" t="s">
        <v>11</v>
      </c>
      <c r="H28" s="69"/>
      <c r="I28" s="67"/>
      <c r="J28" s="68">
        <f t="shared" si="8"/>
        <v>0</v>
      </c>
      <c r="K28" s="73"/>
      <c r="L28" s="68">
        <f t="shared" ref="L28:L32" si="9">SUM(J28-K28)</f>
        <v>0</v>
      </c>
      <c r="M28" s="104">
        <v>45870.0</v>
      </c>
      <c r="N28" s="67">
        <v>8536.0</v>
      </c>
      <c r="O28" s="67" t="s">
        <v>140</v>
      </c>
      <c r="P28" s="69"/>
      <c r="Q28" s="76"/>
      <c r="R28" s="67"/>
      <c r="S28" s="69"/>
      <c r="T28" s="69"/>
      <c r="U28" s="69"/>
      <c r="V28" s="69"/>
      <c r="W28" s="69"/>
      <c r="X28" s="69"/>
      <c r="Y28" s="69"/>
      <c r="Z28" s="69"/>
      <c r="AA28" s="69"/>
      <c r="AB28" s="69"/>
    </row>
    <row r="29">
      <c r="A29" s="8">
        <v>227.0</v>
      </c>
      <c r="B29" s="7" t="s">
        <v>101</v>
      </c>
      <c r="C29" s="42">
        <v>600.0</v>
      </c>
      <c r="D29" s="8"/>
      <c r="E29" s="43"/>
      <c r="G29" s="7" t="s">
        <v>8</v>
      </c>
      <c r="I29" s="7" t="s">
        <v>253</v>
      </c>
      <c r="J29" s="42">
        <f t="shared" si="8"/>
        <v>600</v>
      </c>
      <c r="K29" s="59">
        <v>600.0</v>
      </c>
      <c r="L29" s="42">
        <f t="shared" si="9"/>
        <v>0</v>
      </c>
      <c r="M29" s="10">
        <v>45870.0</v>
      </c>
      <c r="N29" s="7">
        <v>8532.0</v>
      </c>
      <c r="O29" s="7" t="s">
        <v>140</v>
      </c>
    </row>
    <row r="30">
      <c r="A30" s="8">
        <v>228.0</v>
      </c>
      <c r="B30" s="7" t="s">
        <v>29</v>
      </c>
      <c r="C30" s="42">
        <v>600.0</v>
      </c>
      <c r="D30" s="8"/>
      <c r="E30" s="42"/>
      <c r="G30" s="7" t="s">
        <v>8</v>
      </c>
      <c r="I30" s="7" t="s">
        <v>266</v>
      </c>
      <c r="J30" s="42">
        <f t="shared" si="8"/>
        <v>600</v>
      </c>
      <c r="K30" s="58">
        <v>600.0</v>
      </c>
      <c r="L30" s="42">
        <f t="shared" si="9"/>
        <v>0</v>
      </c>
      <c r="M30" s="47">
        <v>45863.0</v>
      </c>
      <c r="N30" s="7">
        <v>8523.0</v>
      </c>
      <c r="O30" s="7" t="s">
        <v>341</v>
      </c>
      <c r="Q30" s="47">
        <v>45877.0</v>
      </c>
      <c r="R30" s="7">
        <v>8545.0</v>
      </c>
    </row>
    <row r="31">
      <c r="A31" s="8">
        <v>229.0</v>
      </c>
      <c r="B31" s="7" t="s">
        <v>71</v>
      </c>
      <c r="C31" s="42">
        <v>620.0</v>
      </c>
      <c r="D31" s="8"/>
      <c r="E31" s="43"/>
      <c r="G31" s="7" t="s">
        <v>8</v>
      </c>
      <c r="I31" s="7" t="s">
        <v>266</v>
      </c>
      <c r="J31" s="42">
        <f t="shared" si="8"/>
        <v>620</v>
      </c>
      <c r="K31" s="59">
        <v>620.0</v>
      </c>
      <c r="L31" s="42">
        <f t="shared" si="9"/>
        <v>0</v>
      </c>
      <c r="M31" s="47">
        <v>45863.0</v>
      </c>
      <c r="N31" s="7">
        <v>8522.0</v>
      </c>
      <c r="O31" s="7" t="s">
        <v>140</v>
      </c>
      <c r="Q31" s="47">
        <v>45877.0</v>
      </c>
      <c r="R31" s="7">
        <v>8544.0</v>
      </c>
    </row>
    <row r="32">
      <c r="A32" s="8">
        <v>230.0</v>
      </c>
      <c r="B32" s="7" t="s">
        <v>107</v>
      </c>
      <c r="C32" s="42">
        <v>600.0</v>
      </c>
      <c r="D32" s="8"/>
      <c r="E32" s="42">
        <v>-200.0</v>
      </c>
      <c r="G32" s="7" t="s">
        <v>8</v>
      </c>
      <c r="H32" s="7" t="s">
        <v>371</v>
      </c>
      <c r="I32" s="7" t="s">
        <v>249</v>
      </c>
      <c r="J32" s="42">
        <f t="shared" si="8"/>
        <v>400</v>
      </c>
      <c r="K32" s="58">
        <v>400.0</v>
      </c>
      <c r="L32" s="42">
        <f t="shared" si="9"/>
        <v>0</v>
      </c>
      <c r="M32" s="47">
        <v>45863.0</v>
      </c>
      <c r="N32" s="7">
        <v>8520.0</v>
      </c>
      <c r="O32" s="7" t="s">
        <v>140</v>
      </c>
      <c r="Q32" s="47">
        <v>45870.0</v>
      </c>
      <c r="R32" s="7">
        <v>8535.0</v>
      </c>
      <c r="S32" s="47"/>
      <c r="U32" s="47"/>
    </row>
    <row r="34">
      <c r="A34" s="12" t="s">
        <v>197</v>
      </c>
      <c r="B34" s="17"/>
      <c r="C34" s="63">
        <f>SUM(C2:C32)</f>
        <v>19170</v>
      </c>
      <c r="D34" s="17"/>
      <c r="E34" s="63">
        <f>SUM(E2:E32)</f>
        <v>-2965</v>
      </c>
      <c r="F34" s="17"/>
      <c r="G34" s="17">
        <f t="array" ref="G34">COUNTIF(G2:G32,"y")</f>
        <v>23</v>
      </c>
      <c r="H34" s="17"/>
      <c r="I34" s="17"/>
      <c r="J34" s="63">
        <f t="shared" ref="J34:L34" si="10">SUM(J2:J32)</f>
        <v>16205</v>
      </c>
      <c r="K34" s="63">
        <f t="shared" si="10"/>
        <v>14315</v>
      </c>
      <c r="L34" s="63">
        <f t="shared" si="10"/>
        <v>1890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6">
      <c r="G36" s="7" t="s">
        <v>358</v>
      </c>
    </row>
    <row r="37">
      <c r="A37" s="18" t="s">
        <v>34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>
      <c r="A38" s="20" t="s">
        <v>198</v>
      </c>
      <c r="B38" s="20" t="s">
        <v>121</v>
      </c>
      <c r="C38" s="21"/>
      <c r="D38" s="20" t="s">
        <v>199</v>
      </c>
      <c r="E38" s="20">
        <v>1.0</v>
      </c>
      <c r="F38" s="20">
        <v>2.0</v>
      </c>
      <c r="G38" s="20">
        <v>3.0</v>
      </c>
      <c r="H38" s="20">
        <v>4.0</v>
      </c>
      <c r="I38" s="20"/>
      <c r="J38" s="20">
        <v>5.0</v>
      </c>
      <c r="K38" s="20">
        <v>6.0</v>
      </c>
      <c r="L38" s="20">
        <v>7.0</v>
      </c>
      <c r="M38" s="20">
        <v>8.0</v>
      </c>
      <c r="N38" s="20">
        <v>9.0</v>
      </c>
      <c r="O38" s="22" t="s">
        <v>200</v>
      </c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>
      <c r="A39" s="7" t="s">
        <v>122</v>
      </c>
      <c r="B39" s="42">
        <f>O47</f>
        <v>9600</v>
      </c>
      <c r="D39" s="7" t="s">
        <v>61</v>
      </c>
      <c r="E39" s="7">
        <v>500.0</v>
      </c>
      <c r="F39" s="7">
        <v>500.0</v>
      </c>
      <c r="G39" s="7">
        <v>500.0</v>
      </c>
      <c r="H39" s="7">
        <v>500.0</v>
      </c>
      <c r="O39" s="17">
        <f t="shared" ref="O39:O46" si="11">SUM(E39:N39)</f>
        <v>2000</v>
      </c>
    </row>
    <row r="40">
      <c r="A40" s="7" t="s">
        <v>123</v>
      </c>
      <c r="B40" s="42">
        <v>0.0</v>
      </c>
      <c r="D40" s="7" t="s">
        <v>374</v>
      </c>
      <c r="E40" s="7">
        <v>200.0</v>
      </c>
      <c r="F40" s="7">
        <v>200.0</v>
      </c>
      <c r="G40" s="7">
        <v>200.0</v>
      </c>
      <c r="H40" s="7">
        <v>200.0</v>
      </c>
      <c r="O40" s="17">
        <f t="shared" si="11"/>
        <v>800</v>
      </c>
    </row>
    <row r="41">
      <c r="A41" s="7" t="s">
        <v>124</v>
      </c>
      <c r="B41" s="42">
        <v>975.0</v>
      </c>
      <c r="D41" s="7" t="s">
        <v>297</v>
      </c>
      <c r="E41" s="7">
        <v>500.0</v>
      </c>
      <c r="F41" s="7">
        <v>500.0</v>
      </c>
      <c r="G41" s="7">
        <v>500.0</v>
      </c>
      <c r="H41" s="7">
        <v>500.0</v>
      </c>
      <c r="O41" s="17">
        <f t="shared" si="11"/>
        <v>2000</v>
      </c>
    </row>
    <row r="42">
      <c r="A42" s="7" t="s">
        <v>125</v>
      </c>
      <c r="B42" s="42">
        <v>385.0</v>
      </c>
      <c r="D42" s="7" t="s">
        <v>375</v>
      </c>
      <c r="E42" s="7">
        <v>200.0</v>
      </c>
      <c r="F42" s="7">
        <v>200.0</v>
      </c>
      <c r="G42" s="7">
        <v>200.0</v>
      </c>
      <c r="H42" s="7">
        <v>200.0</v>
      </c>
      <c r="O42" s="17">
        <f t="shared" si="11"/>
        <v>800</v>
      </c>
    </row>
    <row r="43">
      <c r="A43" s="7" t="s">
        <v>126</v>
      </c>
      <c r="B43" s="42">
        <v>280.0</v>
      </c>
      <c r="D43" s="7" t="s">
        <v>376</v>
      </c>
      <c r="E43" s="7">
        <v>500.0</v>
      </c>
      <c r="F43" s="7">
        <v>500.0</v>
      </c>
      <c r="G43" s="7">
        <v>500.0</v>
      </c>
      <c r="H43" s="7">
        <v>500.0</v>
      </c>
      <c r="O43" s="17">
        <f t="shared" si="11"/>
        <v>2000</v>
      </c>
    </row>
    <row r="44">
      <c r="A44" s="7" t="s">
        <v>128</v>
      </c>
      <c r="B44" s="42">
        <v>985.0</v>
      </c>
      <c r="D44" s="7" t="s">
        <v>205</v>
      </c>
      <c r="E44" s="7">
        <v>500.0</v>
      </c>
      <c r="F44" s="7">
        <v>500.0</v>
      </c>
      <c r="G44" s="7">
        <v>500.0</v>
      </c>
      <c r="H44" s="7">
        <v>500.0</v>
      </c>
      <c r="O44" s="17">
        <f t="shared" si="11"/>
        <v>2000</v>
      </c>
    </row>
    <row r="45">
      <c r="A45" s="7" t="s">
        <v>129</v>
      </c>
      <c r="B45" s="42">
        <v>1000.0</v>
      </c>
      <c r="D45" s="7"/>
      <c r="O45" s="17">
        <f t="shared" si="11"/>
        <v>0</v>
      </c>
    </row>
    <row r="46">
      <c r="A46" s="7" t="s">
        <v>207</v>
      </c>
      <c r="B46" s="42">
        <v>828.78</v>
      </c>
      <c r="D46" s="7"/>
      <c r="E46" s="7"/>
      <c r="F46" s="7"/>
      <c r="G46" s="7"/>
      <c r="H46" s="7"/>
      <c r="J46" s="7"/>
      <c r="K46" s="7"/>
      <c r="O46" s="17">
        <f t="shared" si="11"/>
        <v>0</v>
      </c>
    </row>
    <row r="47">
      <c r="A47" s="7" t="s">
        <v>208</v>
      </c>
      <c r="B47" s="43">
        <f>E78</f>
        <v>0</v>
      </c>
      <c r="O47" s="17">
        <f>SUM(O39:O46)</f>
        <v>9600</v>
      </c>
    </row>
    <row r="48">
      <c r="B48" s="43"/>
    </row>
    <row r="49">
      <c r="A49" s="7" t="s">
        <v>200</v>
      </c>
      <c r="B49" s="43">
        <f>SUM(B39:B47)</f>
        <v>14053.78</v>
      </c>
    </row>
    <row r="50">
      <c r="A50" s="17"/>
      <c r="B50" s="17"/>
      <c r="C50" s="17"/>
      <c r="D50" s="22" t="s">
        <v>209</v>
      </c>
      <c r="E50" s="22" t="s">
        <v>121</v>
      </c>
      <c r="F50" s="22" t="s">
        <v>210</v>
      </c>
      <c r="G50" s="22" t="s">
        <v>211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>
      <c r="B51" s="7" t="s">
        <v>347</v>
      </c>
      <c r="C51" s="7" t="s">
        <v>348</v>
      </c>
    </row>
    <row r="52">
      <c r="A52" s="7" t="s">
        <v>214</v>
      </c>
      <c r="B52" s="42">
        <f t="shared" ref="B52:C52" si="12">J34</f>
        <v>16205</v>
      </c>
      <c r="C52" s="42">
        <f t="shared" si="12"/>
        <v>14315</v>
      </c>
      <c r="E52" s="42"/>
    </row>
    <row r="53">
      <c r="A53" s="7" t="s">
        <v>217</v>
      </c>
      <c r="B53" s="43">
        <f>B49</f>
        <v>14053.78</v>
      </c>
      <c r="C53" s="43">
        <f>B49</f>
        <v>14053.78</v>
      </c>
      <c r="E53" s="42"/>
    </row>
    <row r="54">
      <c r="E54" s="42"/>
    </row>
    <row r="55">
      <c r="A55" s="44" t="s">
        <v>221</v>
      </c>
      <c r="B55" s="74">
        <f>B52-B53</f>
        <v>2151.22</v>
      </c>
      <c r="C55" s="74">
        <f>SUM(C52-C53)</f>
        <v>261.22</v>
      </c>
      <c r="D55" s="75"/>
      <c r="E55" s="42"/>
    </row>
    <row r="56">
      <c r="E56" s="43"/>
    </row>
    <row r="57">
      <c r="A57" s="7" t="s">
        <v>361</v>
      </c>
      <c r="E57" s="43"/>
    </row>
    <row r="58">
      <c r="E58" s="43"/>
    </row>
    <row r="59">
      <c r="E59" s="43"/>
    </row>
    <row r="60">
      <c r="E60" s="43"/>
    </row>
    <row r="61">
      <c r="E61" s="43"/>
    </row>
    <row r="62">
      <c r="E62" s="43"/>
    </row>
    <row r="63">
      <c r="E63" s="42"/>
    </row>
    <row r="64">
      <c r="E64" s="42"/>
    </row>
    <row r="65">
      <c r="E65" s="42"/>
    </row>
    <row r="66">
      <c r="E66" s="43"/>
    </row>
    <row r="67">
      <c r="E67" s="43"/>
    </row>
    <row r="68">
      <c r="E68" s="43"/>
    </row>
    <row r="69">
      <c r="E69" s="43"/>
    </row>
    <row r="70">
      <c r="E70" s="43"/>
    </row>
    <row r="71">
      <c r="E71" s="43"/>
    </row>
    <row r="72">
      <c r="E72" s="43"/>
    </row>
    <row r="73">
      <c r="E73" s="43"/>
    </row>
    <row r="74">
      <c r="E74" s="43"/>
    </row>
    <row r="75">
      <c r="E75" s="43"/>
    </row>
    <row r="76">
      <c r="D76" s="7"/>
      <c r="E76" s="43"/>
    </row>
    <row r="77">
      <c r="D77" s="7"/>
      <c r="E77" s="43"/>
    </row>
    <row r="78">
      <c r="D78" s="7" t="s">
        <v>200</v>
      </c>
      <c r="E78" s="43">
        <f>SUM(E51:E74)</f>
        <v>0</v>
      </c>
    </row>
  </sheetData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0"/>
    <col customWidth="1" min="2" max="2" width="26.13"/>
    <col customWidth="1" min="4" max="4" width="8.75"/>
    <col customWidth="1" min="5" max="5" width="10.25"/>
    <col customWidth="1" min="6" max="6" width="11.88"/>
    <col customWidth="1" min="7" max="7" width="10.13"/>
    <col customWidth="1" min="8" max="8" width="26.88"/>
    <col customWidth="1" min="9" max="9" width="12.0"/>
    <col customWidth="1" min="10" max="10" width="10.25"/>
    <col customWidth="1" min="11" max="11" width="21.0"/>
    <col customWidth="1" min="12" max="12" width="19.25"/>
    <col customWidth="1" min="13" max="13" width="15.63"/>
    <col customWidth="1" min="14" max="14" width="17.88"/>
    <col customWidth="1" min="15" max="15" width="19.0"/>
    <col customWidth="1" min="18" max="18" width="19.38"/>
    <col customWidth="1" min="19" max="19" width="17.25"/>
  </cols>
  <sheetData>
    <row r="1">
      <c r="A1" s="44" t="s">
        <v>367</v>
      </c>
      <c r="B1" s="44" t="s">
        <v>37</v>
      </c>
      <c r="C1" s="44" t="s">
        <v>2</v>
      </c>
      <c r="D1" s="44" t="s">
        <v>38</v>
      </c>
      <c r="E1" s="44" t="s">
        <v>39</v>
      </c>
      <c r="F1" s="44" t="s">
        <v>40</v>
      </c>
      <c r="G1" s="44" t="s">
        <v>3</v>
      </c>
      <c r="H1" s="44" t="s">
        <v>7</v>
      </c>
      <c r="I1" s="44" t="s">
        <v>246</v>
      </c>
      <c r="J1" s="44" t="s">
        <v>41</v>
      </c>
      <c r="K1" s="44" t="s">
        <v>368</v>
      </c>
      <c r="L1" s="44" t="s">
        <v>43</v>
      </c>
      <c r="M1" s="44" t="s">
        <v>44</v>
      </c>
      <c r="N1" s="44" t="s">
        <v>45</v>
      </c>
      <c r="O1" s="44" t="s">
        <v>46</v>
      </c>
      <c r="P1" s="44" t="s">
        <v>47</v>
      </c>
      <c r="Q1" s="44" t="s">
        <v>247</v>
      </c>
      <c r="R1" s="12" t="s">
        <v>333</v>
      </c>
      <c r="S1" s="12" t="s">
        <v>334</v>
      </c>
      <c r="T1" s="12" t="s">
        <v>335</v>
      </c>
      <c r="U1" s="12" t="s">
        <v>336</v>
      </c>
      <c r="V1" s="12" t="s">
        <v>337</v>
      </c>
      <c r="W1" s="13"/>
      <c r="X1" s="13"/>
      <c r="Y1" s="13"/>
      <c r="Z1" s="13"/>
      <c r="AA1" s="13"/>
      <c r="AB1" s="13"/>
    </row>
    <row r="2">
      <c r="A2" s="50">
        <v>100.0</v>
      </c>
      <c r="B2" s="51" t="s">
        <v>352</v>
      </c>
      <c r="C2" s="53">
        <v>640.0</v>
      </c>
      <c r="D2" s="50"/>
      <c r="E2" s="53">
        <v>160.0</v>
      </c>
      <c r="F2" s="52"/>
      <c r="G2" s="51" t="s">
        <v>8</v>
      </c>
      <c r="H2" s="52"/>
      <c r="I2" s="51" t="s">
        <v>266</v>
      </c>
      <c r="J2" s="53">
        <f>Sum(C2+E2)</f>
        <v>800</v>
      </c>
      <c r="K2" s="53">
        <v>0.0</v>
      </c>
      <c r="L2" s="53">
        <f t="shared" ref="L2:L10" si="1">SUM(J2-K2)</f>
        <v>800</v>
      </c>
      <c r="M2" s="105">
        <v>45870.0</v>
      </c>
      <c r="N2" s="51">
        <v>8534.0</v>
      </c>
      <c r="O2" s="51" t="s">
        <v>341</v>
      </c>
      <c r="P2" s="52"/>
      <c r="Q2" s="105">
        <v>45855.0</v>
      </c>
      <c r="R2" s="51">
        <v>8510.0</v>
      </c>
      <c r="S2" s="105"/>
      <c r="T2" s="52"/>
      <c r="U2" s="105"/>
      <c r="V2" s="52"/>
      <c r="W2" s="52"/>
      <c r="X2" s="52"/>
      <c r="Y2" s="52"/>
      <c r="Z2" s="52"/>
      <c r="AA2" s="52"/>
      <c r="AB2" s="52"/>
    </row>
    <row r="3">
      <c r="A3" s="8">
        <v>101.0</v>
      </c>
      <c r="B3" s="7" t="s">
        <v>10</v>
      </c>
      <c r="C3" s="42">
        <v>640.0</v>
      </c>
      <c r="D3" s="8"/>
      <c r="E3" s="43"/>
      <c r="G3" s="7" t="s">
        <v>8</v>
      </c>
      <c r="I3" s="7" t="s">
        <v>253</v>
      </c>
      <c r="J3" s="42">
        <f t="shared" ref="J3:J4" si="2">sum(C3+E3)</f>
        <v>640</v>
      </c>
      <c r="K3" s="42">
        <v>640.0</v>
      </c>
      <c r="L3" s="42">
        <f t="shared" si="1"/>
        <v>0</v>
      </c>
      <c r="M3" s="10">
        <v>45870.0</v>
      </c>
      <c r="N3" s="7">
        <v>8530.0</v>
      </c>
      <c r="O3" s="7" t="s">
        <v>140</v>
      </c>
    </row>
    <row r="4">
      <c r="A4" s="8">
        <v>102.0</v>
      </c>
      <c r="B4" s="7" t="s">
        <v>362</v>
      </c>
      <c r="C4" s="42">
        <v>600.0</v>
      </c>
      <c r="D4" s="8"/>
      <c r="E4" s="42">
        <v>-150.0</v>
      </c>
      <c r="G4" s="7" t="s">
        <v>8</v>
      </c>
      <c r="H4" s="7" t="s">
        <v>377</v>
      </c>
      <c r="I4" s="7" t="s">
        <v>253</v>
      </c>
      <c r="J4" s="42">
        <f t="shared" si="2"/>
        <v>450</v>
      </c>
      <c r="K4" s="42">
        <v>450.0</v>
      </c>
      <c r="L4" s="42">
        <f t="shared" si="1"/>
        <v>0</v>
      </c>
      <c r="M4" s="47"/>
    </row>
    <row r="5">
      <c r="A5" s="8">
        <v>103.0</v>
      </c>
      <c r="B5" s="7" t="s">
        <v>13</v>
      </c>
      <c r="C5" s="42">
        <v>640.0</v>
      </c>
      <c r="D5" s="8"/>
      <c r="E5" s="43"/>
      <c r="G5" s="7" t="s">
        <v>8</v>
      </c>
      <c r="I5" s="7" t="s">
        <v>253</v>
      </c>
      <c r="J5" s="42">
        <f>Sum(C5+E5)</f>
        <v>640</v>
      </c>
      <c r="K5" s="42">
        <v>400.0</v>
      </c>
      <c r="L5" s="42">
        <f t="shared" si="1"/>
        <v>240</v>
      </c>
      <c r="M5" s="47"/>
      <c r="Q5" s="47"/>
      <c r="S5" s="47"/>
    </row>
    <row r="6">
      <c r="A6" s="8">
        <v>104.0</v>
      </c>
      <c r="B6" s="7" t="s">
        <v>81</v>
      </c>
      <c r="C6" s="42">
        <v>640.0</v>
      </c>
      <c r="D6" s="8"/>
      <c r="E6" s="42"/>
      <c r="F6" s="7"/>
      <c r="G6" s="7" t="s">
        <v>8</v>
      </c>
      <c r="I6" s="7" t="s">
        <v>253</v>
      </c>
      <c r="J6" s="42">
        <f t="shared" ref="J6:J25" si="3">sum(C6+E6)</f>
        <v>640</v>
      </c>
      <c r="K6" s="42">
        <v>640.0</v>
      </c>
      <c r="L6" s="42">
        <f t="shared" si="1"/>
        <v>0</v>
      </c>
      <c r="M6" s="47">
        <v>45863.0</v>
      </c>
      <c r="N6" s="7">
        <v>8525.0</v>
      </c>
      <c r="O6" s="7" t="s">
        <v>80</v>
      </c>
      <c r="P6" s="7"/>
      <c r="Q6" s="55"/>
    </row>
    <row r="7">
      <c r="A7" s="50">
        <v>105.0</v>
      </c>
      <c r="B7" s="51" t="s">
        <v>146</v>
      </c>
      <c r="C7" s="53">
        <v>640.0</v>
      </c>
      <c r="D7" s="50"/>
      <c r="E7" s="53">
        <v>840.0</v>
      </c>
      <c r="F7" s="52"/>
      <c r="G7" s="51" t="s">
        <v>8</v>
      </c>
      <c r="H7" s="51"/>
      <c r="I7" s="51" t="s">
        <v>249</v>
      </c>
      <c r="J7" s="53">
        <f t="shared" si="3"/>
        <v>1480</v>
      </c>
      <c r="K7" s="53"/>
      <c r="L7" s="53">
        <f t="shared" si="1"/>
        <v>1480</v>
      </c>
      <c r="M7" s="105"/>
      <c r="N7" s="52"/>
      <c r="O7" s="51" t="s">
        <v>140</v>
      </c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>
      <c r="A8" s="8">
        <v>106.0</v>
      </c>
      <c r="B8" s="7" t="s">
        <v>363</v>
      </c>
      <c r="C8" s="42">
        <v>640.0</v>
      </c>
      <c r="E8" s="42"/>
      <c r="G8" s="7" t="s">
        <v>8</v>
      </c>
      <c r="I8" s="7" t="s">
        <v>249</v>
      </c>
      <c r="J8" s="42">
        <f t="shared" si="3"/>
        <v>640</v>
      </c>
      <c r="K8" s="42">
        <v>460.0</v>
      </c>
      <c r="L8" s="42">
        <f t="shared" si="1"/>
        <v>180</v>
      </c>
      <c r="P8" s="7" t="s">
        <v>364</v>
      </c>
    </row>
    <row r="9">
      <c r="A9" s="82">
        <v>107.0</v>
      </c>
      <c r="B9" s="85"/>
      <c r="C9" s="84"/>
      <c r="D9" s="85"/>
      <c r="E9" s="84"/>
      <c r="F9" s="85"/>
      <c r="G9" s="83" t="s">
        <v>11</v>
      </c>
      <c r="H9" s="85"/>
      <c r="I9" s="85"/>
      <c r="J9" s="96">
        <f t="shared" si="3"/>
        <v>0</v>
      </c>
      <c r="K9" s="96"/>
      <c r="L9" s="84">
        <f t="shared" si="1"/>
        <v>0</v>
      </c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</row>
    <row r="10">
      <c r="A10" s="82">
        <v>108.0</v>
      </c>
      <c r="B10" s="85"/>
      <c r="C10" s="84"/>
      <c r="D10" s="85"/>
      <c r="E10" s="84"/>
      <c r="F10" s="85"/>
      <c r="G10" s="83" t="s">
        <v>11</v>
      </c>
      <c r="H10" s="85"/>
      <c r="I10" s="85"/>
      <c r="J10" s="96">
        <f t="shared" si="3"/>
        <v>0</v>
      </c>
      <c r="K10" s="84"/>
      <c r="L10" s="84">
        <f t="shared" si="1"/>
        <v>0</v>
      </c>
      <c r="M10" s="93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</row>
    <row r="11">
      <c r="A11" s="8">
        <v>109.0</v>
      </c>
      <c r="B11" s="7" t="s">
        <v>339</v>
      </c>
      <c r="C11" s="42">
        <v>600.0</v>
      </c>
      <c r="D11" s="8"/>
      <c r="E11" s="43"/>
      <c r="G11" s="7" t="s">
        <v>8</v>
      </c>
      <c r="I11" s="7" t="s">
        <v>249</v>
      </c>
      <c r="J11" s="42">
        <f t="shared" si="3"/>
        <v>600</v>
      </c>
      <c r="K11" s="42">
        <v>150.0</v>
      </c>
      <c r="L11" s="42">
        <f>sum(J11-K11)</f>
        <v>450</v>
      </c>
      <c r="M11" s="47">
        <v>45862.0</v>
      </c>
      <c r="N11" s="7">
        <v>8518.0</v>
      </c>
      <c r="Q11" s="47">
        <v>45870.0</v>
      </c>
      <c r="R11" s="7">
        <v>8527.0</v>
      </c>
      <c r="S11" s="47">
        <v>45876.0</v>
      </c>
      <c r="T11" s="7">
        <v>8542.0</v>
      </c>
      <c r="U11" s="47"/>
      <c r="V11" s="7">
        <v>8512.0</v>
      </c>
    </row>
    <row r="12">
      <c r="A12" s="50">
        <v>110.0</v>
      </c>
      <c r="B12" s="51" t="s">
        <v>62</v>
      </c>
      <c r="C12" s="53">
        <v>600.0</v>
      </c>
      <c r="D12" s="51"/>
      <c r="E12" s="53">
        <v>1200.0</v>
      </c>
      <c r="F12" s="52"/>
      <c r="G12" s="51" t="s">
        <v>8</v>
      </c>
      <c r="H12" s="52"/>
      <c r="I12" s="51" t="s">
        <v>249</v>
      </c>
      <c r="J12" s="53">
        <f t="shared" si="3"/>
        <v>1800</v>
      </c>
      <c r="K12" s="53"/>
      <c r="L12" s="53">
        <f t="shared" ref="L12:L13" si="4">SUM(J12-K12)</f>
        <v>1800</v>
      </c>
      <c r="M12" s="105">
        <v>45870.0</v>
      </c>
      <c r="N12" s="51">
        <v>8537.0</v>
      </c>
      <c r="O12" s="51" t="s">
        <v>140</v>
      </c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>
      <c r="A13" s="8">
        <v>111.0</v>
      </c>
      <c r="B13" s="7" t="s">
        <v>19</v>
      </c>
      <c r="C13" s="42">
        <v>600.0</v>
      </c>
      <c r="D13" s="8"/>
      <c r="E13" s="43"/>
      <c r="G13" s="7" t="s">
        <v>8</v>
      </c>
      <c r="I13" s="7" t="s">
        <v>253</v>
      </c>
      <c r="J13" s="42">
        <f t="shared" si="3"/>
        <v>600</v>
      </c>
      <c r="K13" s="42">
        <v>600.0</v>
      </c>
      <c r="L13" s="42">
        <f t="shared" si="4"/>
        <v>0</v>
      </c>
      <c r="M13" s="47">
        <v>45873.0</v>
      </c>
      <c r="N13" s="7">
        <v>8540.0</v>
      </c>
      <c r="O13" s="7" t="s">
        <v>140</v>
      </c>
    </row>
    <row r="14">
      <c r="A14" s="8">
        <v>112.0</v>
      </c>
      <c r="B14" s="7" t="s">
        <v>365</v>
      </c>
      <c r="C14" s="42">
        <v>600.0</v>
      </c>
      <c r="D14" s="8"/>
      <c r="E14" s="42"/>
      <c r="G14" s="7" t="s">
        <v>8</v>
      </c>
      <c r="I14" s="7" t="s">
        <v>249</v>
      </c>
      <c r="J14" s="42">
        <f t="shared" si="3"/>
        <v>600</v>
      </c>
      <c r="K14" s="42">
        <v>300.0</v>
      </c>
      <c r="L14" s="42">
        <f t="shared" ref="L14:L16" si="5">sum(J14-K14)</f>
        <v>300</v>
      </c>
      <c r="M14" s="47"/>
      <c r="N14" s="7"/>
      <c r="O14" s="7"/>
    </row>
    <row r="15">
      <c r="A15" s="8">
        <v>113.0</v>
      </c>
      <c r="B15" s="7" t="s">
        <v>21</v>
      </c>
      <c r="C15" s="42">
        <v>600.0</v>
      </c>
      <c r="D15" s="8"/>
      <c r="E15" s="42">
        <v>-150.0</v>
      </c>
      <c r="F15" s="7" t="s">
        <v>378</v>
      </c>
      <c r="G15" s="7" t="s">
        <v>8</v>
      </c>
      <c r="I15" s="7" t="s">
        <v>253</v>
      </c>
      <c r="J15" s="42">
        <f t="shared" si="3"/>
        <v>450</v>
      </c>
      <c r="K15" s="42">
        <v>450.0</v>
      </c>
      <c r="L15" s="42">
        <f t="shared" si="5"/>
        <v>0</v>
      </c>
      <c r="M15" s="49">
        <v>45870.0</v>
      </c>
      <c r="N15" s="7">
        <v>8533.0</v>
      </c>
      <c r="O15" s="7" t="s">
        <v>69</v>
      </c>
    </row>
    <row r="16">
      <c r="A16" s="8">
        <v>114.0</v>
      </c>
      <c r="B16" s="7" t="s">
        <v>354</v>
      </c>
      <c r="C16" s="42">
        <v>600.0</v>
      </c>
      <c r="D16" s="8"/>
      <c r="E16" s="42"/>
      <c r="G16" s="7" t="s">
        <v>8</v>
      </c>
      <c r="I16" s="7" t="s">
        <v>249</v>
      </c>
      <c r="J16" s="42">
        <f t="shared" si="3"/>
        <v>600</v>
      </c>
      <c r="K16" s="42">
        <v>450.0</v>
      </c>
      <c r="L16" s="42">
        <f t="shared" si="5"/>
        <v>150</v>
      </c>
      <c r="M16" s="10">
        <v>45863.0</v>
      </c>
      <c r="N16" s="7">
        <v>8524.0</v>
      </c>
      <c r="O16" s="7" t="s">
        <v>69</v>
      </c>
      <c r="Q16" s="47">
        <v>45849.0</v>
      </c>
      <c r="R16" s="7">
        <v>8506.0</v>
      </c>
      <c r="S16" s="47"/>
    </row>
    <row r="17">
      <c r="A17" s="82">
        <v>215.0</v>
      </c>
      <c r="B17" s="85"/>
      <c r="C17" s="84"/>
      <c r="D17" s="82"/>
      <c r="E17" s="84"/>
      <c r="F17" s="85"/>
      <c r="G17" s="83" t="s">
        <v>8</v>
      </c>
      <c r="H17" s="85"/>
      <c r="I17" s="83"/>
      <c r="J17" s="84">
        <f t="shared" si="3"/>
        <v>0</v>
      </c>
      <c r="K17" s="84"/>
      <c r="L17" s="84">
        <f>SUM(J17-K17)</f>
        <v>0</v>
      </c>
      <c r="M17" s="86"/>
      <c r="N17" s="83"/>
      <c r="O17" s="83"/>
      <c r="P17" s="85"/>
      <c r="Q17" s="86">
        <v>45849.0</v>
      </c>
      <c r="R17" s="83">
        <v>8504.0</v>
      </c>
      <c r="S17" s="85"/>
      <c r="T17" s="85"/>
      <c r="U17" s="85"/>
      <c r="V17" s="85"/>
      <c r="W17" s="85"/>
      <c r="X17" s="85"/>
      <c r="Y17" s="85"/>
      <c r="Z17" s="85"/>
      <c r="AA17" s="85"/>
      <c r="AB17" s="85"/>
    </row>
    <row r="18" ht="14.25" customHeight="1">
      <c r="A18" s="8">
        <v>216.0</v>
      </c>
      <c r="B18" s="7" t="s">
        <v>22</v>
      </c>
      <c r="C18" s="42">
        <v>640.0</v>
      </c>
      <c r="D18" s="8"/>
      <c r="E18" s="43"/>
      <c r="G18" s="7" t="s">
        <v>8</v>
      </c>
      <c r="I18" s="7" t="s">
        <v>249</v>
      </c>
      <c r="J18" s="42">
        <f t="shared" si="3"/>
        <v>640</v>
      </c>
      <c r="K18" s="42">
        <v>480.0</v>
      </c>
      <c r="L18" s="42">
        <f>sum(J18-K18)</f>
        <v>160</v>
      </c>
      <c r="M18" s="47">
        <v>45863.0</v>
      </c>
      <c r="N18" s="7">
        <v>8526.0</v>
      </c>
      <c r="O18" s="7" t="s">
        <v>140</v>
      </c>
      <c r="Q18" s="47">
        <v>45870.0</v>
      </c>
      <c r="R18" s="7">
        <v>8531.0</v>
      </c>
      <c r="S18" s="47"/>
      <c r="U18" s="47"/>
    </row>
    <row r="19">
      <c r="A19" s="106">
        <v>217.0</v>
      </c>
      <c r="B19" s="107" t="s">
        <v>370</v>
      </c>
      <c r="C19" s="108">
        <v>640.0</v>
      </c>
      <c r="D19" s="106"/>
      <c r="E19" s="109"/>
      <c r="F19" s="110"/>
      <c r="G19" s="107" t="s">
        <v>11</v>
      </c>
      <c r="H19" s="110"/>
      <c r="I19" s="107"/>
      <c r="J19" s="108">
        <f t="shared" si="3"/>
        <v>640</v>
      </c>
      <c r="K19" s="108">
        <v>640.0</v>
      </c>
      <c r="L19" s="108">
        <f t="shared" ref="L19:L20" si="6">SUM(J19-K19)</f>
        <v>0</v>
      </c>
      <c r="M19" s="111">
        <v>45872.0</v>
      </c>
      <c r="N19" s="107">
        <v>8539.0</v>
      </c>
      <c r="O19" s="107" t="s">
        <v>140</v>
      </c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</row>
    <row r="20">
      <c r="A20" s="82">
        <v>218.0</v>
      </c>
      <c r="B20" s="83"/>
      <c r="C20" s="84"/>
      <c r="D20" s="82"/>
      <c r="E20" s="84"/>
      <c r="F20" s="83"/>
      <c r="G20" s="83" t="s">
        <v>11</v>
      </c>
      <c r="H20" s="83"/>
      <c r="I20" s="83"/>
      <c r="J20" s="84">
        <f t="shared" si="3"/>
        <v>0</v>
      </c>
      <c r="K20" s="84"/>
      <c r="L20" s="84">
        <f t="shared" si="6"/>
        <v>0</v>
      </c>
      <c r="M20" s="93"/>
      <c r="N20" s="85"/>
      <c r="O20" s="85"/>
      <c r="P20" s="83"/>
      <c r="Q20" s="94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</row>
    <row r="21">
      <c r="A21" s="8">
        <v>219.0</v>
      </c>
      <c r="B21" s="7" t="s">
        <v>82</v>
      </c>
      <c r="C21" s="42">
        <v>640.0</v>
      </c>
      <c r="D21" s="8"/>
      <c r="E21" s="43"/>
      <c r="G21" s="7" t="s">
        <v>8</v>
      </c>
      <c r="I21" s="7" t="s">
        <v>266</v>
      </c>
      <c r="J21" s="42">
        <f t="shared" si="3"/>
        <v>640</v>
      </c>
      <c r="K21" s="42">
        <v>320.0</v>
      </c>
      <c r="L21" s="42">
        <f>sum(J21-K21)</f>
        <v>320</v>
      </c>
      <c r="M21" s="47">
        <v>45863.0</v>
      </c>
      <c r="N21" s="7">
        <v>8519.0</v>
      </c>
      <c r="O21" s="7" t="s">
        <v>80</v>
      </c>
      <c r="Q21" s="47"/>
    </row>
    <row r="22">
      <c r="A22" s="8">
        <v>220.0</v>
      </c>
      <c r="B22" s="7" t="s">
        <v>345</v>
      </c>
      <c r="C22" s="42">
        <v>650.0</v>
      </c>
      <c r="D22" s="8"/>
      <c r="E22" s="42"/>
      <c r="G22" s="7" t="s">
        <v>8</v>
      </c>
      <c r="I22" s="7" t="s">
        <v>249</v>
      </c>
      <c r="J22" s="42">
        <f t="shared" si="3"/>
        <v>650</v>
      </c>
      <c r="K22" s="42">
        <v>320.0</v>
      </c>
      <c r="L22" s="42">
        <f t="shared" ref="L22:L26" si="7">SUM(J22-K22)</f>
        <v>330</v>
      </c>
      <c r="M22" s="47">
        <v>45870.0</v>
      </c>
      <c r="N22" s="7">
        <v>8538.0</v>
      </c>
      <c r="O22" s="7" t="s">
        <v>140</v>
      </c>
      <c r="Q22" s="47">
        <v>45877.0</v>
      </c>
      <c r="R22" s="7">
        <v>8547.0</v>
      </c>
    </row>
    <row r="23">
      <c r="A23" s="60">
        <v>221.0</v>
      </c>
      <c r="B23" s="14" t="s">
        <v>25</v>
      </c>
      <c r="C23" s="61">
        <v>650.0</v>
      </c>
      <c r="D23" s="60"/>
      <c r="E23" s="61">
        <v>640.0</v>
      </c>
      <c r="F23" s="15"/>
      <c r="G23" s="14" t="s">
        <v>8</v>
      </c>
      <c r="H23" s="15"/>
      <c r="I23" s="14" t="s">
        <v>253</v>
      </c>
      <c r="J23" s="61">
        <f t="shared" si="3"/>
        <v>1290</v>
      </c>
      <c r="K23" s="61">
        <v>1290.0</v>
      </c>
      <c r="L23" s="61">
        <f t="shared" si="7"/>
        <v>0</v>
      </c>
      <c r="M23" s="71">
        <v>45869.0</v>
      </c>
      <c r="N23" s="14">
        <v>8529.0</v>
      </c>
      <c r="O23" s="14" t="s">
        <v>140</v>
      </c>
      <c r="P23" s="15"/>
      <c r="Q23" s="64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>
      <c r="A24" s="8">
        <v>222.0</v>
      </c>
      <c r="B24" s="7" t="s">
        <v>372</v>
      </c>
      <c r="C24" s="42">
        <v>640.0</v>
      </c>
      <c r="E24" s="42"/>
      <c r="G24" s="7" t="s">
        <v>11</v>
      </c>
      <c r="I24" s="7"/>
      <c r="J24" s="42">
        <f t="shared" si="3"/>
        <v>640</v>
      </c>
      <c r="K24" s="42">
        <v>320.0</v>
      </c>
      <c r="L24" s="42">
        <f t="shared" si="7"/>
        <v>320</v>
      </c>
      <c r="Q24" s="47"/>
      <c r="S24" s="47"/>
    </row>
    <row r="25">
      <c r="A25" s="82">
        <v>223.0</v>
      </c>
      <c r="B25" s="85"/>
      <c r="C25" s="84"/>
      <c r="D25" s="85"/>
      <c r="E25" s="84"/>
      <c r="F25" s="85"/>
      <c r="G25" s="83" t="s">
        <v>11</v>
      </c>
      <c r="H25" s="85"/>
      <c r="I25" s="85"/>
      <c r="J25" s="96">
        <f t="shared" si="3"/>
        <v>0</v>
      </c>
      <c r="K25" s="96"/>
      <c r="L25" s="84">
        <f t="shared" si="7"/>
        <v>0</v>
      </c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</row>
    <row r="26">
      <c r="A26" s="82">
        <v>224.0</v>
      </c>
      <c r="B26" s="85"/>
      <c r="C26" s="84"/>
      <c r="D26" s="85"/>
      <c r="E26" s="84"/>
      <c r="F26" s="85"/>
      <c r="G26" s="83" t="s">
        <v>11</v>
      </c>
      <c r="H26" s="85"/>
      <c r="I26" s="103"/>
      <c r="J26" s="96">
        <f>Sum(C26+E26)</f>
        <v>0</v>
      </c>
      <c r="K26" s="96"/>
      <c r="L26" s="84">
        <f t="shared" si="7"/>
        <v>0</v>
      </c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</row>
    <row r="27">
      <c r="A27" s="8">
        <v>225.0</v>
      </c>
      <c r="B27" s="7" t="s">
        <v>379</v>
      </c>
      <c r="C27" s="42">
        <v>600.0</v>
      </c>
      <c r="D27" s="8"/>
      <c r="E27" s="43"/>
      <c r="G27" s="7" t="s">
        <v>8</v>
      </c>
      <c r="I27" s="7" t="s">
        <v>249</v>
      </c>
      <c r="J27" s="42">
        <f t="shared" ref="J27:J32" si="8">sum(C27+E27)</f>
        <v>600</v>
      </c>
      <c r="K27" s="58">
        <v>300.0</v>
      </c>
      <c r="L27" s="42">
        <f>sum(J27-K27)</f>
        <v>300</v>
      </c>
      <c r="M27" s="49">
        <v>45863.0</v>
      </c>
      <c r="N27" s="7">
        <v>8521.0</v>
      </c>
      <c r="O27" s="7" t="s">
        <v>80</v>
      </c>
      <c r="Q27" s="47">
        <v>45869.0</v>
      </c>
      <c r="R27" s="7">
        <v>8528.0</v>
      </c>
      <c r="S27" s="49">
        <v>45875.0</v>
      </c>
      <c r="T27" s="7">
        <v>8541.0</v>
      </c>
      <c r="U27" s="7" t="s">
        <v>366</v>
      </c>
    </row>
    <row r="28">
      <c r="A28" s="66">
        <v>226.0</v>
      </c>
      <c r="B28" s="69"/>
      <c r="C28" s="68"/>
      <c r="D28" s="66"/>
      <c r="E28" s="68"/>
      <c r="F28" s="69"/>
      <c r="G28" s="67" t="s">
        <v>11</v>
      </c>
      <c r="H28" s="69"/>
      <c r="I28" s="67"/>
      <c r="J28" s="68">
        <f t="shared" si="8"/>
        <v>0</v>
      </c>
      <c r="K28" s="73"/>
      <c r="L28" s="68">
        <f t="shared" ref="L28:L32" si="9">SUM(J28-K28)</f>
        <v>0</v>
      </c>
      <c r="M28" s="104">
        <v>45870.0</v>
      </c>
      <c r="N28" s="67">
        <v>8536.0</v>
      </c>
      <c r="O28" s="67" t="s">
        <v>140</v>
      </c>
      <c r="P28" s="69"/>
      <c r="Q28" s="76"/>
      <c r="R28" s="67"/>
      <c r="S28" s="69"/>
      <c r="T28" s="69"/>
      <c r="U28" s="69"/>
      <c r="V28" s="69"/>
      <c r="W28" s="69"/>
      <c r="X28" s="69"/>
      <c r="Y28" s="69"/>
      <c r="Z28" s="69"/>
      <c r="AA28" s="69"/>
      <c r="AB28" s="69"/>
    </row>
    <row r="29">
      <c r="A29" s="8">
        <v>227.0</v>
      </c>
      <c r="B29" s="7" t="s">
        <v>101</v>
      </c>
      <c r="C29" s="42">
        <v>600.0</v>
      </c>
      <c r="D29" s="8"/>
      <c r="E29" s="43"/>
      <c r="G29" s="7" t="s">
        <v>8</v>
      </c>
      <c r="I29" s="7" t="s">
        <v>253</v>
      </c>
      <c r="J29" s="42">
        <f t="shared" si="8"/>
        <v>600</v>
      </c>
      <c r="K29" s="59">
        <v>600.0</v>
      </c>
      <c r="L29" s="42">
        <f t="shared" si="9"/>
        <v>0</v>
      </c>
      <c r="M29" s="10">
        <v>45870.0</v>
      </c>
      <c r="N29" s="7">
        <v>8532.0</v>
      </c>
      <c r="O29" s="7" t="s">
        <v>140</v>
      </c>
    </row>
    <row r="30">
      <c r="A30" s="8">
        <v>228.0</v>
      </c>
      <c r="B30" s="7" t="s">
        <v>29</v>
      </c>
      <c r="C30" s="42">
        <v>600.0</v>
      </c>
      <c r="D30" s="8"/>
      <c r="E30" s="42"/>
      <c r="G30" s="7" t="s">
        <v>8</v>
      </c>
      <c r="I30" s="7" t="s">
        <v>266</v>
      </c>
      <c r="J30" s="42">
        <f t="shared" si="8"/>
        <v>600</v>
      </c>
      <c r="K30" s="58">
        <v>300.0</v>
      </c>
      <c r="L30" s="42">
        <f t="shared" si="9"/>
        <v>300</v>
      </c>
      <c r="M30" s="47">
        <v>45863.0</v>
      </c>
      <c r="N30" s="7">
        <v>8523.0</v>
      </c>
      <c r="O30" s="7" t="s">
        <v>341</v>
      </c>
      <c r="Q30" s="47">
        <v>45877.0</v>
      </c>
      <c r="R30" s="7">
        <v>8545.0</v>
      </c>
    </row>
    <row r="31">
      <c r="A31" s="8">
        <v>229.0</v>
      </c>
      <c r="B31" s="7" t="s">
        <v>71</v>
      </c>
      <c r="C31" s="42">
        <v>620.0</v>
      </c>
      <c r="D31" s="8"/>
      <c r="E31" s="43"/>
      <c r="G31" s="7" t="s">
        <v>8</v>
      </c>
      <c r="I31" s="7" t="s">
        <v>266</v>
      </c>
      <c r="J31" s="42">
        <f t="shared" si="8"/>
        <v>620</v>
      </c>
      <c r="K31" s="59">
        <v>320.0</v>
      </c>
      <c r="L31" s="42">
        <f t="shared" si="9"/>
        <v>300</v>
      </c>
      <c r="M31" s="47">
        <v>45863.0</v>
      </c>
      <c r="N31" s="7">
        <v>8522.0</v>
      </c>
      <c r="O31" s="7" t="s">
        <v>140</v>
      </c>
      <c r="Q31" s="47">
        <v>45877.0</v>
      </c>
      <c r="R31" s="7">
        <v>8544.0</v>
      </c>
    </row>
    <row r="32">
      <c r="A32" s="60">
        <v>230.0</v>
      </c>
      <c r="B32" s="14" t="s">
        <v>107</v>
      </c>
      <c r="C32" s="61">
        <v>600.0</v>
      </c>
      <c r="D32" s="60"/>
      <c r="E32" s="61">
        <v>320.0</v>
      </c>
      <c r="F32" s="15"/>
      <c r="G32" s="14" t="s">
        <v>8</v>
      </c>
      <c r="H32" s="15"/>
      <c r="I32" s="14" t="s">
        <v>249</v>
      </c>
      <c r="J32" s="61">
        <f t="shared" si="8"/>
        <v>920</v>
      </c>
      <c r="K32" s="112">
        <v>0.0</v>
      </c>
      <c r="L32" s="61">
        <f t="shared" si="9"/>
        <v>920</v>
      </c>
      <c r="M32" s="64">
        <v>45863.0</v>
      </c>
      <c r="N32" s="14">
        <v>8520.0</v>
      </c>
      <c r="O32" s="14" t="s">
        <v>140</v>
      </c>
      <c r="P32" s="15"/>
      <c r="Q32" s="64">
        <v>45870.0</v>
      </c>
      <c r="R32" s="14">
        <v>8535.0</v>
      </c>
      <c r="S32" s="64"/>
      <c r="T32" s="15"/>
      <c r="U32" s="64"/>
      <c r="V32" s="15"/>
      <c r="W32" s="15"/>
      <c r="X32" s="15"/>
      <c r="Y32" s="15"/>
      <c r="Z32" s="15"/>
      <c r="AA32" s="15"/>
      <c r="AB32" s="15"/>
    </row>
    <row r="34">
      <c r="A34" s="12" t="s">
        <v>197</v>
      </c>
      <c r="B34" s="17"/>
      <c r="C34" s="63">
        <f>SUM(C2:C32)</f>
        <v>14920</v>
      </c>
      <c r="D34" s="17"/>
      <c r="E34" s="63">
        <f>SUM(E2:E32)</f>
        <v>2860</v>
      </c>
      <c r="F34" s="17"/>
      <c r="G34" s="17">
        <f t="array" ref="G34">COUNTIF(G2:G32,"y")</f>
        <v>23</v>
      </c>
      <c r="H34" s="17"/>
      <c r="I34" s="17"/>
      <c r="J34" s="63">
        <f t="shared" ref="J34:L34" si="10">SUM(J2:J32)</f>
        <v>17780</v>
      </c>
      <c r="K34" s="63">
        <f t="shared" si="10"/>
        <v>9430</v>
      </c>
      <c r="L34" s="63">
        <f t="shared" si="10"/>
        <v>8350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6">
      <c r="G36" s="7" t="s">
        <v>358</v>
      </c>
    </row>
    <row r="37">
      <c r="A37" s="18" t="s">
        <v>34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>
      <c r="A38" s="20" t="s">
        <v>198</v>
      </c>
      <c r="B38" s="20" t="s">
        <v>121</v>
      </c>
      <c r="C38" s="21"/>
      <c r="D38" s="20" t="s">
        <v>199</v>
      </c>
      <c r="E38" s="20">
        <v>1.0</v>
      </c>
      <c r="F38" s="20">
        <v>2.0</v>
      </c>
      <c r="G38" s="20">
        <v>3.0</v>
      </c>
      <c r="H38" s="20">
        <v>4.0</v>
      </c>
      <c r="I38" s="20"/>
      <c r="J38" s="20">
        <v>5.0</v>
      </c>
      <c r="K38" s="20">
        <v>6.0</v>
      </c>
      <c r="L38" s="20">
        <v>7.0</v>
      </c>
      <c r="M38" s="20">
        <v>8.0</v>
      </c>
      <c r="N38" s="20">
        <v>9.0</v>
      </c>
      <c r="O38" s="22" t="s">
        <v>200</v>
      </c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>
      <c r="A39" s="7" t="s">
        <v>122</v>
      </c>
      <c r="B39" s="42">
        <f>O47</f>
        <v>4100</v>
      </c>
      <c r="D39" s="7" t="s">
        <v>61</v>
      </c>
      <c r="E39" s="7">
        <v>500.0</v>
      </c>
      <c r="F39" s="7">
        <v>500.0</v>
      </c>
      <c r="G39" s="7">
        <v>500.0</v>
      </c>
      <c r="H39" s="7">
        <v>500.0</v>
      </c>
      <c r="O39" s="17">
        <f t="shared" ref="O39:O46" si="11">SUM(E39:N39)</f>
        <v>2000</v>
      </c>
    </row>
    <row r="40">
      <c r="A40" s="7" t="s">
        <v>123</v>
      </c>
      <c r="B40" s="42">
        <v>0.0</v>
      </c>
      <c r="D40" s="7" t="s">
        <v>374</v>
      </c>
      <c r="E40" s="7">
        <v>200.0</v>
      </c>
      <c r="F40" s="7">
        <v>200.0</v>
      </c>
      <c r="G40" s="7">
        <v>200.0</v>
      </c>
      <c r="H40" s="7">
        <v>200.0</v>
      </c>
      <c r="O40" s="17">
        <f t="shared" si="11"/>
        <v>800</v>
      </c>
    </row>
    <row r="41">
      <c r="A41" s="7" t="s">
        <v>124</v>
      </c>
      <c r="B41" s="42">
        <v>876.0</v>
      </c>
      <c r="D41" s="7" t="s">
        <v>297</v>
      </c>
      <c r="E41" s="7">
        <v>300.0</v>
      </c>
      <c r="F41" s="7">
        <v>300.0</v>
      </c>
      <c r="G41" s="7">
        <v>300.0</v>
      </c>
      <c r="H41" s="7">
        <v>400.0</v>
      </c>
      <c r="O41" s="17">
        <f t="shared" si="11"/>
        <v>1300</v>
      </c>
    </row>
    <row r="42">
      <c r="A42" s="7" t="s">
        <v>125</v>
      </c>
      <c r="B42" s="42">
        <v>385.0</v>
      </c>
      <c r="O42" s="17">
        <f t="shared" si="11"/>
        <v>0</v>
      </c>
    </row>
    <row r="43">
      <c r="A43" s="7" t="s">
        <v>126</v>
      </c>
      <c r="B43" s="42">
        <v>280.0</v>
      </c>
      <c r="O43" s="17">
        <f t="shared" si="11"/>
        <v>0</v>
      </c>
    </row>
    <row r="44">
      <c r="A44" s="7" t="s">
        <v>128</v>
      </c>
      <c r="B44" s="42">
        <v>795.0</v>
      </c>
      <c r="O44" s="17">
        <f t="shared" si="11"/>
        <v>0</v>
      </c>
    </row>
    <row r="45">
      <c r="A45" s="7" t="s">
        <v>129</v>
      </c>
      <c r="B45" s="42">
        <v>1000.0</v>
      </c>
      <c r="D45" s="7"/>
      <c r="O45" s="17">
        <f t="shared" si="11"/>
        <v>0</v>
      </c>
    </row>
    <row r="46">
      <c r="A46" s="7" t="s">
        <v>207</v>
      </c>
      <c r="B46" s="42">
        <v>828.78</v>
      </c>
      <c r="D46" s="7"/>
      <c r="E46" s="7"/>
      <c r="F46" s="7"/>
      <c r="G46" s="7"/>
      <c r="H46" s="7"/>
      <c r="J46" s="7"/>
      <c r="K46" s="7"/>
      <c r="O46" s="17">
        <f t="shared" si="11"/>
        <v>0</v>
      </c>
    </row>
    <row r="47">
      <c r="A47" s="7" t="s">
        <v>208</v>
      </c>
      <c r="B47" s="43">
        <f>E78</f>
        <v>0</v>
      </c>
      <c r="O47" s="17">
        <f>SUM(O39:O46)</f>
        <v>4100</v>
      </c>
    </row>
    <row r="48">
      <c r="B48" s="43"/>
    </row>
    <row r="49">
      <c r="A49" s="7" t="s">
        <v>200</v>
      </c>
      <c r="B49" s="43">
        <f>SUM(B39:B47)</f>
        <v>8264.78</v>
      </c>
    </row>
    <row r="50">
      <c r="A50" s="17"/>
      <c r="B50" s="17"/>
      <c r="C50" s="17"/>
      <c r="D50" s="22" t="s">
        <v>209</v>
      </c>
      <c r="E50" s="22" t="s">
        <v>121</v>
      </c>
      <c r="F50" s="22" t="s">
        <v>210</v>
      </c>
      <c r="G50" s="22" t="s">
        <v>211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>
      <c r="B51" s="7" t="s">
        <v>347</v>
      </c>
      <c r="C51" s="7" t="s">
        <v>348</v>
      </c>
    </row>
    <row r="52">
      <c r="A52" s="7" t="s">
        <v>214</v>
      </c>
      <c r="B52" s="42">
        <f t="shared" ref="B52:C52" si="12">J34</f>
        <v>17780</v>
      </c>
      <c r="C52" s="42">
        <f t="shared" si="12"/>
        <v>9430</v>
      </c>
      <c r="E52" s="42"/>
    </row>
    <row r="53">
      <c r="A53" s="7" t="s">
        <v>217</v>
      </c>
      <c r="B53" s="43">
        <f>B49</f>
        <v>8264.78</v>
      </c>
      <c r="C53" s="43">
        <f>B49</f>
        <v>8264.78</v>
      </c>
      <c r="E53" s="42"/>
    </row>
    <row r="54">
      <c r="E54" s="42"/>
    </row>
    <row r="55">
      <c r="A55" s="44" t="s">
        <v>221</v>
      </c>
      <c r="B55" s="74">
        <f>B52-B53</f>
        <v>9515.22</v>
      </c>
      <c r="C55" s="74">
        <f>SUM(C52-C53)</f>
        <v>1165.22</v>
      </c>
      <c r="D55" s="75"/>
      <c r="E55" s="42"/>
    </row>
    <row r="56">
      <c r="E56" s="43"/>
    </row>
    <row r="57">
      <c r="A57" s="7" t="s">
        <v>361</v>
      </c>
      <c r="E57" s="43"/>
    </row>
    <row r="58">
      <c r="E58" s="43"/>
    </row>
    <row r="59">
      <c r="E59" s="43"/>
    </row>
    <row r="60">
      <c r="E60" s="43"/>
    </row>
    <row r="61">
      <c r="E61" s="43"/>
    </row>
    <row r="62">
      <c r="E62" s="43"/>
    </row>
    <row r="63">
      <c r="E63" s="42"/>
    </row>
    <row r="64">
      <c r="E64" s="42"/>
    </row>
    <row r="65">
      <c r="E65" s="42"/>
    </row>
    <row r="66">
      <c r="E66" s="43"/>
    </row>
    <row r="67">
      <c r="E67" s="43"/>
    </row>
    <row r="68">
      <c r="E68" s="43"/>
    </row>
    <row r="69">
      <c r="E69" s="43"/>
    </row>
    <row r="70">
      <c r="E70" s="43"/>
    </row>
    <row r="71">
      <c r="E71" s="43"/>
    </row>
    <row r="72">
      <c r="E72" s="43"/>
    </row>
    <row r="73">
      <c r="E73" s="43"/>
    </row>
    <row r="74">
      <c r="E74" s="43"/>
    </row>
    <row r="75">
      <c r="E75" s="43"/>
    </row>
    <row r="76">
      <c r="D76" s="7"/>
      <c r="E76" s="43"/>
    </row>
    <row r="77">
      <c r="D77" s="7"/>
      <c r="E77" s="43"/>
    </row>
    <row r="78">
      <c r="D78" s="7" t="s">
        <v>200</v>
      </c>
      <c r="E78" s="43">
        <f>SUM(E51:E74)</f>
        <v>0</v>
      </c>
    </row>
  </sheetData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63"/>
    <col customWidth="1" min="2" max="2" width="26.13"/>
    <col customWidth="1" min="4" max="4" width="8.75"/>
    <col customWidth="1" min="5" max="5" width="10.25"/>
    <col customWidth="1" min="6" max="6" width="11.88"/>
    <col customWidth="1" min="7" max="7" width="10.13"/>
    <col customWidth="1" min="8" max="8" width="26.88"/>
    <col customWidth="1" min="9" max="9" width="12.0"/>
    <col customWidth="1" min="10" max="10" width="10.25"/>
    <col customWidth="1" min="11" max="11" width="21.0"/>
    <col customWidth="1" min="12" max="12" width="19.25"/>
    <col customWidth="1" min="13" max="13" width="15.63"/>
    <col customWidth="1" min="14" max="14" width="17.88"/>
    <col customWidth="1" min="15" max="15" width="19.0"/>
    <col customWidth="1" min="18" max="18" width="19.38"/>
    <col customWidth="1" min="19" max="19" width="17.25"/>
  </cols>
  <sheetData>
    <row r="1">
      <c r="A1" s="44" t="s">
        <v>367</v>
      </c>
      <c r="B1" s="44" t="s">
        <v>37</v>
      </c>
      <c r="C1" s="44" t="s">
        <v>2</v>
      </c>
      <c r="D1" s="44" t="s">
        <v>38</v>
      </c>
      <c r="E1" s="44" t="s">
        <v>39</v>
      </c>
      <c r="F1" s="44" t="s">
        <v>40</v>
      </c>
      <c r="G1" s="44" t="s">
        <v>3</v>
      </c>
      <c r="H1" s="44" t="s">
        <v>7</v>
      </c>
      <c r="I1" s="44" t="s">
        <v>246</v>
      </c>
      <c r="J1" s="44" t="s">
        <v>41</v>
      </c>
      <c r="K1" s="44" t="s">
        <v>368</v>
      </c>
      <c r="L1" s="44" t="s">
        <v>43</v>
      </c>
      <c r="M1" s="44" t="s">
        <v>44</v>
      </c>
      <c r="N1" s="44" t="s">
        <v>45</v>
      </c>
      <c r="O1" s="44" t="s">
        <v>46</v>
      </c>
      <c r="P1" s="44" t="s">
        <v>47</v>
      </c>
      <c r="Q1" s="44" t="s">
        <v>247</v>
      </c>
      <c r="R1" s="12" t="s">
        <v>333</v>
      </c>
      <c r="S1" s="12" t="s">
        <v>334</v>
      </c>
      <c r="T1" s="12" t="s">
        <v>335</v>
      </c>
      <c r="U1" s="12" t="s">
        <v>336</v>
      </c>
      <c r="V1" s="12" t="s">
        <v>337</v>
      </c>
      <c r="W1" s="13"/>
      <c r="X1" s="13"/>
      <c r="Y1" s="13"/>
      <c r="Z1" s="13"/>
      <c r="AA1" s="13"/>
      <c r="AB1" s="13"/>
    </row>
    <row r="2">
      <c r="A2" s="82">
        <v>100.0</v>
      </c>
      <c r="B2" s="85"/>
      <c r="C2" s="84"/>
      <c r="D2" s="82"/>
      <c r="E2" s="84"/>
      <c r="F2" s="85"/>
      <c r="G2" s="83" t="s">
        <v>8</v>
      </c>
      <c r="H2" s="85"/>
      <c r="I2" s="83" t="s">
        <v>266</v>
      </c>
      <c r="J2" s="84">
        <f>Sum(C2+E2)</f>
        <v>0</v>
      </c>
      <c r="K2" s="84"/>
      <c r="L2" s="84">
        <f t="shared" ref="L2:L10" si="1">SUM(J2-K2)</f>
        <v>0</v>
      </c>
      <c r="M2" s="86">
        <v>45870.0</v>
      </c>
      <c r="N2" s="83">
        <v>8534.0</v>
      </c>
      <c r="O2" s="83" t="s">
        <v>341</v>
      </c>
      <c r="P2" s="85"/>
      <c r="Q2" s="86">
        <v>45855.0</v>
      </c>
      <c r="R2" s="83">
        <v>8510.0</v>
      </c>
      <c r="S2" s="86"/>
      <c r="T2" s="85"/>
      <c r="U2" s="86"/>
      <c r="V2" s="85"/>
      <c r="W2" s="85"/>
      <c r="X2" s="85"/>
      <c r="Y2" s="85"/>
      <c r="Z2" s="85"/>
      <c r="AA2" s="85"/>
      <c r="AB2" s="85"/>
    </row>
    <row r="3">
      <c r="A3" s="8">
        <v>101.0</v>
      </c>
      <c r="B3" s="7" t="s">
        <v>10</v>
      </c>
      <c r="C3" s="42">
        <v>640.0</v>
      </c>
      <c r="D3" s="8"/>
      <c r="E3" s="43"/>
      <c r="G3" s="7" t="s">
        <v>8</v>
      </c>
      <c r="I3" s="7" t="s">
        <v>253</v>
      </c>
      <c r="J3" s="42">
        <f t="shared" ref="J3:J4" si="2">sum(C3+E3)</f>
        <v>640</v>
      </c>
      <c r="K3" s="42">
        <v>640.0</v>
      </c>
      <c r="L3" s="42">
        <f t="shared" si="1"/>
        <v>0</v>
      </c>
      <c r="M3" s="10">
        <v>45870.0</v>
      </c>
      <c r="N3" s="7">
        <v>8530.0</v>
      </c>
      <c r="O3" s="7" t="s">
        <v>140</v>
      </c>
    </row>
    <row r="4">
      <c r="A4" s="8">
        <v>102.0</v>
      </c>
      <c r="B4" s="7" t="s">
        <v>362</v>
      </c>
      <c r="C4" s="42">
        <v>600.0</v>
      </c>
      <c r="D4" s="8"/>
      <c r="E4" s="42"/>
      <c r="G4" s="7" t="s">
        <v>8</v>
      </c>
      <c r="H4" s="7" t="s">
        <v>377</v>
      </c>
      <c r="I4" s="7" t="s">
        <v>253</v>
      </c>
      <c r="J4" s="42">
        <f t="shared" si="2"/>
        <v>600</v>
      </c>
      <c r="K4" s="42">
        <v>450.0</v>
      </c>
      <c r="L4" s="42">
        <f t="shared" si="1"/>
        <v>150</v>
      </c>
      <c r="M4" s="47"/>
    </row>
    <row r="5">
      <c r="A5" s="8">
        <v>103.0</v>
      </c>
      <c r="B5" s="7" t="s">
        <v>13</v>
      </c>
      <c r="C5" s="42">
        <v>640.0</v>
      </c>
      <c r="D5" s="8"/>
      <c r="E5" s="43"/>
      <c r="G5" s="7" t="s">
        <v>8</v>
      </c>
      <c r="I5" s="7" t="s">
        <v>253</v>
      </c>
      <c r="J5" s="42">
        <f>Sum(C5+E5)</f>
        <v>640</v>
      </c>
      <c r="K5" s="42">
        <v>0.0</v>
      </c>
      <c r="L5" s="42">
        <f t="shared" si="1"/>
        <v>640</v>
      </c>
      <c r="M5" s="47"/>
      <c r="Q5" s="47"/>
      <c r="S5" s="47"/>
    </row>
    <row r="6">
      <c r="A6" s="8">
        <v>104.0</v>
      </c>
      <c r="B6" s="7" t="s">
        <v>14</v>
      </c>
      <c r="C6" s="42">
        <v>700.0</v>
      </c>
      <c r="D6" s="8"/>
      <c r="E6" s="42"/>
      <c r="F6" s="7"/>
      <c r="G6" s="7" t="s">
        <v>8</v>
      </c>
      <c r="I6" s="7" t="s">
        <v>253</v>
      </c>
      <c r="J6" s="42">
        <f t="shared" ref="J6:J25" si="3">sum(C6+E6)</f>
        <v>700</v>
      </c>
      <c r="K6" s="42">
        <v>700.0</v>
      </c>
      <c r="L6" s="42">
        <f t="shared" si="1"/>
        <v>0</v>
      </c>
      <c r="M6" s="47">
        <v>45863.0</v>
      </c>
      <c r="N6" s="7">
        <v>8525.0</v>
      </c>
      <c r="O6" s="7" t="s">
        <v>80</v>
      </c>
      <c r="P6" s="7"/>
      <c r="Q6" s="55"/>
    </row>
    <row r="7">
      <c r="A7" s="82">
        <v>105.0</v>
      </c>
      <c r="B7" s="83"/>
      <c r="C7" s="84"/>
      <c r="D7" s="82"/>
      <c r="E7" s="84"/>
      <c r="F7" s="85"/>
      <c r="G7" s="83" t="s">
        <v>8</v>
      </c>
      <c r="H7" s="83"/>
      <c r="I7" s="83" t="s">
        <v>249</v>
      </c>
      <c r="J7" s="84">
        <f t="shared" si="3"/>
        <v>0</v>
      </c>
      <c r="K7" s="84"/>
      <c r="L7" s="84">
        <f t="shared" si="1"/>
        <v>0</v>
      </c>
      <c r="M7" s="86"/>
      <c r="N7" s="85"/>
      <c r="O7" s="83" t="s">
        <v>140</v>
      </c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</row>
    <row r="8">
      <c r="A8" s="8">
        <v>106.0</v>
      </c>
      <c r="B8" s="7" t="s">
        <v>363</v>
      </c>
      <c r="C8" s="42">
        <v>640.0</v>
      </c>
      <c r="E8" s="42">
        <v>50.0</v>
      </c>
      <c r="G8" s="7" t="s">
        <v>8</v>
      </c>
      <c r="I8" s="7" t="s">
        <v>249</v>
      </c>
      <c r="J8" s="42">
        <f t="shared" si="3"/>
        <v>690</v>
      </c>
      <c r="K8" s="42">
        <v>0.0</v>
      </c>
      <c r="L8" s="42">
        <f t="shared" si="1"/>
        <v>690</v>
      </c>
      <c r="P8" s="7" t="s">
        <v>364</v>
      </c>
    </row>
    <row r="9">
      <c r="A9" s="82">
        <v>107.0</v>
      </c>
      <c r="B9" s="85"/>
      <c r="C9" s="84"/>
      <c r="D9" s="85"/>
      <c r="E9" s="84"/>
      <c r="F9" s="85"/>
      <c r="G9" s="83" t="s">
        <v>11</v>
      </c>
      <c r="H9" s="85"/>
      <c r="I9" s="85"/>
      <c r="J9" s="96">
        <f t="shared" si="3"/>
        <v>0</v>
      </c>
      <c r="K9" s="96"/>
      <c r="L9" s="84">
        <f t="shared" si="1"/>
        <v>0</v>
      </c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</row>
    <row r="10">
      <c r="A10" s="82">
        <v>108.0</v>
      </c>
      <c r="B10" s="85"/>
      <c r="C10" s="84"/>
      <c r="D10" s="85"/>
      <c r="E10" s="84"/>
      <c r="F10" s="85"/>
      <c r="G10" s="83" t="s">
        <v>11</v>
      </c>
      <c r="H10" s="85"/>
      <c r="I10" s="85"/>
      <c r="J10" s="96">
        <f t="shared" si="3"/>
        <v>0</v>
      </c>
      <c r="K10" s="84"/>
      <c r="L10" s="84">
        <f t="shared" si="1"/>
        <v>0</v>
      </c>
      <c r="M10" s="93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</row>
    <row r="11">
      <c r="A11" s="8">
        <v>109.0</v>
      </c>
      <c r="B11" s="7" t="s">
        <v>339</v>
      </c>
      <c r="C11" s="42">
        <v>600.0</v>
      </c>
      <c r="D11" s="8"/>
      <c r="E11" s="43"/>
      <c r="G11" s="7" t="s">
        <v>8</v>
      </c>
      <c r="I11" s="7" t="s">
        <v>249</v>
      </c>
      <c r="J11" s="42">
        <f t="shared" si="3"/>
        <v>600</v>
      </c>
      <c r="K11" s="42">
        <v>300.0</v>
      </c>
      <c r="L11" s="42">
        <f>sum(J11-K11)</f>
        <v>300</v>
      </c>
      <c r="M11" s="47">
        <v>45862.0</v>
      </c>
      <c r="N11" s="7">
        <v>8518.0</v>
      </c>
      <c r="Q11" s="47">
        <v>45870.0</v>
      </c>
      <c r="R11" s="7">
        <v>8527.0</v>
      </c>
      <c r="S11" s="47">
        <v>45876.0</v>
      </c>
      <c r="T11" s="7">
        <v>8542.0</v>
      </c>
      <c r="U11" s="47"/>
      <c r="V11" s="7">
        <v>8512.0</v>
      </c>
    </row>
    <row r="12">
      <c r="A12" s="82">
        <v>110.0</v>
      </c>
      <c r="B12" s="83"/>
      <c r="C12" s="84"/>
      <c r="D12" s="83"/>
      <c r="E12" s="84"/>
      <c r="F12" s="85"/>
      <c r="G12" s="83" t="s">
        <v>8</v>
      </c>
      <c r="H12" s="85"/>
      <c r="I12" s="83" t="s">
        <v>249</v>
      </c>
      <c r="J12" s="84">
        <f t="shared" si="3"/>
        <v>0</v>
      </c>
      <c r="K12" s="84"/>
      <c r="L12" s="84">
        <f t="shared" ref="L12:L13" si="4">SUM(J12-K12)</f>
        <v>0</v>
      </c>
      <c r="M12" s="86">
        <v>45870.0</v>
      </c>
      <c r="N12" s="83">
        <v>8537.0</v>
      </c>
      <c r="O12" s="83" t="s">
        <v>140</v>
      </c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</row>
    <row r="13">
      <c r="A13" s="8">
        <v>111.0</v>
      </c>
      <c r="B13" s="7" t="s">
        <v>19</v>
      </c>
      <c r="C13" s="42">
        <v>600.0</v>
      </c>
      <c r="D13" s="8"/>
      <c r="E13" s="43"/>
      <c r="G13" s="7" t="s">
        <v>8</v>
      </c>
      <c r="I13" s="7" t="s">
        <v>253</v>
      </c>
      <c r="J13" s="42">
        <f t="shared" si="3"/>
        <v>600</v>
      </c>
      <c r="K13" s="42">
        <v>600.0</v>
      </c>
      <c r="L13" s="42">
        <f t="shared" si="4"/>
        <v>0</v>
      </c>
      <c r="M13" s="47">
        <v>45873.0</v>
      </c>
      <c r="N13" s="7">
        <v>8540.0</v>
      </c>
      <c r="O13" s="7" t="s">
        <v>140</v>
      </c>
    </row>
    <row r="14">
      <c r="A14" s="8">
        <v>112.0</v>
      </c>
      <c r="B14" s="7" t="s">
        <v>365</v>
      </c>
      <c r="C14" s="42">
        <v>600.0</v>
      </c>
      <c r="D14" s="8"/>
      <c r="E14" s="42"/>
      <c r="G14" s="7" t="s">
        <v>8</v>
      </c>
      <c r="I14" s="7" t="s">
        <v>249</v>
      </c>
      <c r="J14" s="42">
        <f t="shared" si="3"/>
        <v>600</v>
      </c>
      <c r="K14" s="42">
        <v>150.0</v>
      </c>
      <c r="L14" s="42">
        <f t="shared" ref="L14:L16" si="5">sum(J14-K14)</f>
        <v>450</v>
      </c>
      <c r="M14" s="47"/>
      <c r="N14" s="7"/>
      <c r="O14" s="7"/>
    </row>
    <row r="15">
      <c r="A15" s="8">
        <v>113.0</v>
      </c>
      <c r="B15" s="7" t="s">
        <v>21</v>
      </c>
      <c r="C15" s="42">
        <v>600.0</v>
      </c>
      <c r="D15" s="8"/>
      <c r="E15" s="42">
        <v>-150.0</v>
      </c>
      <c r="F15" s="7" t="s">
        <v>378</v>
      </c>
      <c r="G15" s="7" t="s">
        <v>8</v>
      </c>
      <c r="I15" s="7" t="s">
        <v>253</v>
      </c>
      <c r="J15" s="42">
        <f t="shared" si="3"/>
        <v>450</v>
      </c>
      <c r="K15" s="42">
        <v>450.0</v>
      </c>
      <c r="L15" s="42">
        <f t="shared" si="5"/>
        <v>0</v>
      </c>
      <c r="M15" s="49">
        <v>45870.0</v>
      </c>
      <c r="N15" s="7">
        <v>8533.0</v>
      </c>
      <c r="O15" s="7" t="s">
        <v>69</v>
      </c>
    </row>
    <row r="16">
      <c r="A16" s="82">
        <v>114.0</v>
      </c>
      <c r="B16" s="85"/>
      <c r="C16" s="84"/>
      <c r="D16" s="82"/>
      <c r="E16" s="84"/>
      <c r="F16" s="85"/>
      <c r="G16" s="83" t="s">
        <v>8</v>
      </c>
      <c r="H16" s="85"/>
      <c r="I16" s="83" t="s">
        <v>249</v>
      </c>
      <c r="J16" s="84">
        <f t="shared" si="3"/>
        <v>0</v>
      </c>
      <c r="K16" s="84"/>
      <c r="L16" s="84">
        <f t="shared" si="5"/>
        <v>0</v>
      </c>
      <c r="M16" s="93">
        <v>45863.0</v>
      </c>
      <c r="N16" s="83">
        <v>8524.0</v>
      </c>
      <c r="O16" s="83" t="s">
        <v>69</v>
      </c>
      <c r="P16" s="85"/>
      <c r="Q16" s="86">
        <v>45849.0</v>
      </c>
      <c r="R16" s="83">
        <v>8506.0</v>
      </c>
      <c r="S16" s="86"/>
      <c r="T16" s="85"/>
      <c r="U16" s="85"/>
      <c r="V16" s="85"/>
      <c r="W16" s="85"/>
      <c r="X16" s="85"/>
      <c r="Y16" s="85"/>
      <c r="Z16" s="85"/>
      <c r="AA16" s="85"/>
      <c r="AB16" s="85"/>
    </row>
    <row r="17">
      <c r="A17" s="82">
        <v>215.0</v>
      </c>
      <c r="B17" s="85"/>
      <c r="C17" s="84"/>
      <c r="D17" s="82"/>
      <c r="E17" s="84"/>
      <c r="F17" s="85"/>
      <c r="G17" s="83" t="s">
        <v>8</v>
      </c>
      <c r="H17" s="85"/>
      <c r="I17" s="83"/>
      <c r="J17" s="84">
        <f t="shared" si="3"/>
        <v>0</v>
      </c>
      <c r="K17" s="84"/>
      <c r="L17" s="84">
        <f>SUM(J17-K17)</f>
        <v>0</v>
      </c>
      <c r="M17" s="86"/>
      <c r="N17" s="83"/>
      <c r="O17" s="83"/>
      <c r="P17" s="85"/>
      <c r="Q17" s="86">
        <v>45849.0</v>
      </c>
      <c r="R17" s="83">
        <v>8504.0</v>
      </c>
      <c r="S17" s="85"/>
      <c r="T17" s="85"/>
      <c r="U17" s="85"/>
      <c r="V17" s="85"/>
      <c r="W17" s="85"/>
      <c r="X17" s="85"/>
      <c r="Y17" s="85"/>
      <c r="Z17" s="85"/>
      <c r="AA17" s="85"/>
      <c r="AB17" s="85"/>
    </row>
    <row r="18" ht="14.25" customHeight="1">
      <c r="A18" s="8">
        <v>216.0</v>
      </c>
      <c r="B18" s="7" t="s">
        <v>22</v>
      </c>
      <c r="C18" s="42">
        <v>640.0</v>
      </c>
      <c r="D18" s="8"/>
      <c r="E18" s="43"/>
      <c r="G18" s="7" t="s">
        <v>8</v>
      </c>
      <c r="I18" s="7" t="s">
        <v>249</v>
      </c>
      <c r="J18" s="42">
        <f t="shared" si="3"/>
        <v>640</v>
      </c>
      <c r="K18" s="42">
        <v>0.0</v>
      </c>
      <c r="L18" s="42">
        <f>sum(J18-K18)</f>
        <v>640</v>
      </c>
      <c r="M18" s="47">
        <v>45863.0</v>
      </c>
      <c r="N18" s="7">
        <v>8526.0</v>
      </c>
      <c r="O18" s="7" t="s">
        <v>140</v>
      </c>
      <c r="Q18" s="47">
        <v>45870.0</v>
      </c>
      <c r="R18" s="7">
        <v>8531.0</v>
      </c>
      <c r="S18" s="47"/>
      <c r="U18" s="47"/>
    </row>
    <row r="19">
      <c r="A19" s="97">
        <v>217.0</v>
      </c>
      <c r="B19" s="98"/>
      <c r="C19" s="99"/>
      <c r="D19" s="97"/>
      <c r="E19" s="99"/>
      <c r="F19" s="101"/>
      <c r="G19" s="98" t="s">
        <v>11</v>
      </c>
      <c r="H19" s="101"/>
      <c r="I19" s="98"/>
      <c r="J19" s="99">
        <f t="shared" si="3"/>
        <v>0</v>
      </c>
      <c r="K19" s="99"/>
      <c r="L19" s="99">
        <f t="shared" ref="L19:L20" si="6">SUM(J19-K19)</f>
        <v>0</v>
      </c>
      <c r="M19" s="102">
        <v>45872.0</v>
      </c>
      <c r="N19" s="98">
        <v>8539.0</v>
      </c>
      <c r="O19" s="98" t="s">
        <v>140</v>
      </c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</row>
    <row r="20">
      <c r="A20" s="82">
        <v>218.0</v>
      </c>
      <c r="B20" s="83"/>
      <c r="C20" s="84"/>
      <c r="D20" s="82"/>
      <c r="E20" s="84"/>
      <c r="F20" s="83"/>
      <c r="G20" s="83" t="s">
        <v>11</v>
      </c>
      <c r="H20" s="83"/>
      <c r="I20" s="83"/>
      <c r="J20" s="84">
        <f t="shared" si="3"/>
        <v>0</v>
      </c>
      <c r="K20" s="84"/>
      <c r="L20" s="84">
        <f t="shared" si="6"/>
        <v>0</v>
      </c>
      <c r="M20" s="93"/>
      <c r="N20" s="85"/>
      <c r="O20" s="85"/>
      <c r="P20" s="83"/>
      <c r="Q20" s="94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</row>
    <row r="21">
      <c r="A21" s="82">
        <v>219.0</v>
      </c>
      <c r="B21" s="83"/>
      <c r="C21" s="84"/>
      <c r="D21" s="82"/>
      <c r="E21" s="84"/>
      <c r="F21" s="85"/>
      <c r="G21" s="83" t="s">
        <v>8</v>
      </c>
      <c r="H21" s="85"/>
      <c r="I21" s="83" t="s">
        <v>266</v>
      </c>
      <c r="J21" s="84">
        <f t="shared" si="3"/>
        <v>0</v>
      </c>
      <c r="K21" s="84"/>
      <c r="L21" s="84">
        <f>sum(J21-K21)</f>
        <v>0</v>
      </c>
      <c r="M21" s="86">
        <v>45863.0</v>
      </c>
      <c r="N21" s="83">
        <v>8519.0</v>
      </c>
      <c r="O21" s="83" t="s">
        <v>80</v>
      </c>
      <c r="P21" s="85"/>
      <c r="Q21" s="86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</row>
    <row r="22">
      <c r="A22" s="8">
        <v>220.0</v>
      </c>
      <c r="B22" s="7" t="s">
        <v>345</v>
      </c>
      <c r="C22" s="42">
        <v>650.0</v>
      </c>
      <c r="D22" s="8"/>
      <c r="E22" s="42">
        <v>325.0</v>
      </c>
      <c r="G22" s="7" t="s">
        <v>8</v>
      </c>
      <c r="I22" s="7" t="s">
        <v>249</v>
      </c>
      <c r="J22" s="42">
        <f t="shared" si="3"/>
        <v>975</v>
      </c>
      <c r="K22" s="42">
        <v>320.0</v>
      </c>
      <c r="L22" s="42">
        <f t="shared" ref="L22:L26" si="7">SUM(J22-K22)</f>
        <v>655</v>
      </c>
      <c r="M22" s="47">
        <v>45870.0</v>
      </c>
      <c r="N22" s="7">
        <v>8538.0</v>
      </c>
      <c r="O22" s="7" t="s">
        <v>140</v>
      </c>
      <c r="Q22" s="47">
        <v>45877.0</v>
      </c>
      <c r="R22" s="7">
        <v>8547.0</v>
      </c>
    </row>
    <row r="23">
      <c r="A23" s="60">
        <v>221.0</v>
      </c>
      <c r="B23" s="14" t="s">
        <v>25</v>
      </c>
      <c r="C23" s="61">
        <v>650.0</v>
      </c>
      <c r="D23" s="60"/>
      <c r="E23" s="61">
        <v>400.0</v>
      </c>
      <c r="F23" s="15"/>
      <c r="G23" s="14" t="s">
        <v>8</v>
      </c>
      <c r="H23" s="15"/>
      <c r="I23" s="14" t="s">
        <v>253</v>
      </c>
      <c r="J23" s="61">
        <f t="shared" si="3"/>
        <v>1050</v>
      </c>
      <c r="K23" s="61">
        <v>350.0</v>
      </c>
      <c r="L23" s="61">
        <f t="shared" si="7"/>
        <v>700</v>
      </c>
      <c r="M23" s="71">
        <v>45869.0</v>
      </c>
      <c r="N23" s="14">
        <v>8529.0</v>
      </c>
      <c r="O23" s="14" t="s">
        <v>140</v>
      </c>
      <c r="P23" s="15"/>
      <c r="Q23" s="64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>
      <c r="A24" s="82">
        <v>222.0</v>
      </c>
      <c r="B24" s="85"/>
      <c r="C24" s="84"/>
      <c r="D24" s="85"/>
      <c r="E24" s="84"/>
      <c r="F24" s="85"/>
      <c r="G24" s="83" t="s">
        <v>11</v>
      </c>
      <c r="H24" s="85"/>
      <c r="I24" s="83"/>
      <c r="J24" s="84">
        <f t="shared" si="3"/>
        <v>0</v>
      </c>
      <c r="K24" s="84">
        <v>0.0</v>
      </c>
      <c r="L24" s="84">
        <f t="shared" si="7"/>
        <v>0</v>
      </c>
      <c r="M24" s="85"/>
      <c r="N24" s="85"/>
      <c r="O24" s="85"/>
      <c r="P24" s="85"/>
      <c r="Q24" s="86"/>
      <c r="R24" s="85"/>
      <c r="S24" s="86"/>
      <c r="T24" s="85"/>
      <c r="U24" s="85"/>
      <c r="V24" s="85"/>
      <c r="W24" s="85"/>
      <c r="X24" s="85"/>
      <c r="Y24" s="85"/>
      <c r="Z24" s="85"/>
      <c r="AA24" s="85"/>
      <c r="AB24" s="85"/>
    </row>
    <row r="25">
      <c r="A25" s="82">
        <v>223.0</v>
      </c>
      <c r="B25" s="85"/>
      <c r="C25" s="84"/>
      <c r="D25" s="85"/>
      <c r="E25" s="84"/>
      <c r="F25" s="85"/>
      <c r="G25" s="83" t="s">
        <v>11</v>
      </c>
      <c r="H25" s="85"/>
      <c r="I25" s="85"/>
      <c r="J25" s="96">
        <f t="shared" si="3"/>
        <v>0</v>
      </c>
      <c r="K25" s="96"/>
      <c r="L25" s="84">
        <f t="shared" si="7"/>
        <v>0</v>
      </c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</row>
    <row r="26">
      <c r="A26" s="82">
        <v>224.0</v>
      </c>
      <c r="B26" s="85"/>
      <c r="C26" s="84"/>
      <c r="D26" s="85"/>
      <c r="E26" s="84"/>
      <c r="F26" s="85"/>
      <c r="G26" s="83" t="s">
        <v>11</v>
      </c>
      <c r="H26" s="85"/>
      <c r="I26" s="103"/>
      <c r="J26" s="96">
        <f>Sum(C26+E26)</f>
        <v>0</v>
      </c>
      <c r="K26" s="96"/>
      <c r="L26" s="84">
        <f t="shared" si="7"/>
        <v>0</v>
      </c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</row>
    <row r="27">
      <c r="A27" s="82">
        <v>225.0</v>
      </c>
      <c r="B27" s="85"/>
      <c r="C27" s="84"/>
      <c r="D27" s="82"/>
      <c r="E27" s="84"/>
      <c r="F27" s="85"/>
      <c r="G27" s="83" t="s">
        <v>8</v>
      </c>
      <c r="H27" s="85"/>
      <c r="I27" s="83" t="s">
        <v>249</v>
      </c>
      <c r="J27" s="84">
        <f t="shared" ref="J27:J32" si="8">sum(C27+E27)</f>
        <v>0</v>
      </c>
      <c r="K27" s="113">
        <v>0.0</v>
      </c>
      <c r="L27" s="84">
        <f>sum(J27-K27)</f>
        <v>0</v>
      </c>
      <c r="M27" s="114">
        <v>45863.0</v>
      </c>
      <c r="N27" s="83">
        <v>8521.0</v>
      </c>
      <c r="O27" s="83" t="s">
        <v>80</v>
      </c>
      <c r="P27" s="85"/>
      <c r="Q27" s="86">
        <v>45869.0</v>
      </c>
      <c r="R27" s="83">
        <v>8528.0</v>
      </c>
      <c r="S27" s="114">
        <v>45875.0</v>
      </c>
      <c r="T27" s="83">
        <v>8541.0</v>
      </c>
      <c r="U27" s="83" t="s">
        <v>366</v>
      </c>
      <c r="V27" s="85"/>
      <c r="W27" s="85"/>
      <c r="X27" s="85"/>
      <c r="Y27" s="85"/>
      <c r="Z27" s="85"/>
      <c r="AA27" s="85"/>
      <c r="AB27" s="85"/>
    </row>
    <row r="28">
      <c r="A28" s="8">
        <v>226.0</v>
      </c>
      <c r="B28" s="7" t="s">
        <v>27</v>
      </c>
      <c r="C28" s="42">
        <v>600.0</v>
      </c>
      <c r="D28" s="8"/>
      <c r="E28" s="42">
        <v>150.0</v>
      </c>
      <c r="G28" s="7" t="s">
        <v>8</v>
      </c>
      <c r="I28" s="7"/>
      <c r="J28" s="42">
        <f t="shared" si="8"/>
        <v>750</v>
      </c>
      <c r="K28" s="59"/>
      <c r="L28" s="42">
        <f t="shared" ref="L28:L32" si="9">SUM(J28-K28)</f>
        <v>750</v>
      </c>
      <c r="M28" s="49">
        <v>45870.0</v>
      </c>
      <c r="N28" s="7">
        <v>8536.0</v>
      </c>
      <c r="O28" s="7" t="s">
        <v>140</v>
      </c>
      <c r="Q28" s="47"/>
      <c r="R28" s="7"/>
    </row>
    <row r="29">
      <c r="A29" s="8">
        <v>227.0</v>
      </c>
      <c r="B29" s="7" t="s">
        <v>101</v>
      </c>
      <c r="C29" s="42">
        <v>600.0</v>
      </c>
      <c r="D29" s="8"/>
      <c r="E29" s="43"/>
      <c r="G29" s="7" t="s">
        <v>8</v>
      </c>
      <c r="I29" s="7" t="s">
        <v>253</v>
      </c>
      <c r="J29" s="42">
        <f t="shared" si="8"/>
        <v>600</v>
      </c>
      <c r="K29" s="59"/>
      <c r="L29" s="42">
        <f t="shared" si="9"/>
        <v>600</v>
      </c>
      <c r="M29" s="10">
        <v>45870.0</v>
      </c>
      <c r="N29" s="7">
        <v>8532.0</v>
      </c>
      <c r="O29" s="7" t="s">
        <v>140</v>
      </c>
    </row>
    <row r="30">
      <c r="A30" s="8">
        <v>228.0</v>
      </c>
      <c r="B30" s="7" t="s">
        <v>29</v>
      </c>
      <c r="C30" s="42">
        <v>600.0</v>
      </c>
      <c r="D30" s="8"/>
      <c r="E30" s="42"/>
      <c r="G30" s="7" t="s">
        <v>8</v>
      </c>
      <c r="I30" s="7" t="s">
        <v>266</v>
      </c>
      <c r="J30" s="42">
        <f t="shared" si="8"/>
        <v>600</v>
      </c>
      <c r="K30" s="58">
        <v>300.0</v>
      </c>
      <c r="L30" s="42">
        <f t="shared" si="9"/>
        <v>300</v>
      </c>
      <c r="M30" s="47">
        <v>45863.0</v>
      </c>
      <c r="N30" s="7">
        <v>8523.0</v>
      </c>
      <c r="O30" s="7" t="s">
        <v>341</v>
      </c>
      <c r="Q30" s="47">
        <v>45877.0</v>
      </c>
      <c r="R30" s="7">
        <v>8545.0</v>
      </c>
    </row>
    <row r="31">
      <c r="A31" s="8">
        <v>229.0</v>
      </c>
      <c r="B31" s="7" t="s">
        <v>71</v>
      </c>
      <c r="C31" s="42">
        <v>620.0</v>
      </c>
      <c r="D31" s="8"/>
      <c r="E31" s="43"/>
      <c r="G31" s="7" t="s">
        <v>8</v>
      </c>
      <c r="I31" s="7" t="s">
        <v>266</v>
      </c>
      <c r="J31" s="42">
        <f t="shared" si="8"/>
        <v>620</v>
      </c>
      <c r="K31" s="59">
        <v>300.0</v>
      </c>
      <c r="L31" s="42">
        <f t="shared" si="9"/>
        <v>320</v>
      </c>
      <c r="M31" s="47">
        <v>45863.0</v>
      </c>
      <c r="N31" s="7">
        <v>8522.0</v>
      </c>
      <c r="O31" s="7" t="s">
        <v>140</v>
      </c>
      <c r="Q31" s="47">
        <v>45877.0</v>
      </c>
      <c r="R31" s="7">
        <v>8544.0</v>
      </c>
    </row>
    <row r="32">
      <c r="A32" s="66">
        <v>230.0</v>
      </c>
      <c r="B32" s="69"/>
      <c r="C32" s="68"/>
      <c r="D32" s="66"/>
      <c r="E32" s="68"/>
      <c r="F32" s="69"/>
      <c r="G32" s="67" t="s">
        <v>8</v>
      </c>
      <c r="H32" s="69"/>
      <c r="I32" s="67" t="s">
        <v>249</v>
      </c>
      <c r="J32" s="68">
        <f t="shared" si="8"/>
        <v>0</v>
      </c>
      <c r="K32" s="115">
        <v>0.0</v>
      </c>
      <c r="L32" s="68">
        <f t="shared" si="9"/>
        <v>0</v>
      </c>
      <c r="M32" s="76">
        <v>45863.0</v>
      </c>
      <c r="N32" s="67">
        <v>8520.0</v>
      </c>
      <c r="O32" s="67" t="s">
        <v>140</v>
      </c>
      <c r="P32" s="69"/>
      <c r="Q32" s="76">
        <v>45870.0</v>
      </c>
      <c r="R32" s="67">
        <v>8535.0</v>
      </c>
      <c r="S32" s="76"/>
      <c r="T32" s="69"/>
      <c r="U32" s="76"/>
      <c r="V32" s="69"/>
      <c r="W32" s="69"/>
      <c r="X32" s="69"/>
      <c r="Y32" s="69"/>
      <c r="Z32" s="69"/>
      <c r="AA32" s="69"/>
      <c r="AB32" s="69"/>
    </row>
    <row r="34">
      <c r="A34" s="12" t="s">
        <v>197</v>
      </c>
      <c r="B34" s="17"/>
      <c r="C34" s="63">
        <f>SUM(C2:C32)</f>
        <v>9980</v>
      </c>
      <c r="D34" s="17"/>
      <c r="E34" s="63">
        <f>SUM(E2:E32)</f>
        <v>775</v>
      </c>
      <c r="F34" s="17"/>
      <c r="G34" s="17">
        <f t="array" ref="G34">COUNTIF(G2:G32,"y")</f>
        <v>24</v>
      </c>
      <c r="H34" s="17"/>
      <c r="I34" s="17"/>
      <c r="J34" s="63">
        <f t="shared" ref="J34:L34" si="10">SUM(J2:J32)</f>
        <v>10755</v>
      </c>
      <c r="K34" s="63">
        <f t="shared" si="10"/>
        <v>4560</v>
      </c>
      <c r="L34" s="63">
        <f t="shared" si="10"/>
        <v>6195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7">
      <c r="A37" s="18" t="s">
        <v>34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>
      <c r="A38" s="20" t="s">
        <v>198</v>
      </c>
      <c r="B38" s="20" t="s">
        <v>121</v>
      </c>
      <c r="C38" s="21"/>
      <c r="D38" s="20" t="s">
        <v>199</v>
      </c>
      <c r="E38" s="20">
        <v>1.0</v>
      </c>
      <c r="F38" s="20">
        <v>2.0</v>
      </c>
      <c r="G38" s="20">
        <v>3.0</v>
      </c>
      <c r="H38" s="20">
        <v>4.0</v>
      </c>
      <c r="I38" s="20"/>
      <c r="J38" s="20">
        <v>5.0</v>
      </c>
      <c r="K38" s="20">
        <v>6.0</v>
      </c>
      <c r="L38" s="20">
        <v>7.0</v>
      </c>
      <c r="M38" s="20">
        <v>8.0</v>
      </c>
      <c r="N38" s="20">
        <v>9.0</v>
      </c>
      <c r="O38" s="22" t="s">
        <v>200</v>
      </c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>
      <c r="A39" s="7" t="s">
        <v>122</v>
      </c>
      <c r="B39" s="42">
        <f>O48</f>
        <v>4000</v>
      </c>
      <c r="D39" s="7" t="s">
        <v>61</v>
      </c>
      <c r="E39" s="7">
        <v>500.0</v>
      </c>
      <c r="F39" s="7">
        <v>500.0</v>
      </c>
      <c r="G39" s="7">
        <v>500.0</v>
      </c>
      <c r="H39" s="7">
        <v>500.0</v>
      </c>
      <c r="O39" s="17">
        <f t="shared" ref="O39:O40" si="11">SUM(E39:N39)</f>
        <v>2000</v>
      </c>
    </row>
    <row r="40">
      <c r="A40" s="7" t="s">
        <v>123</v>
      </c>
      <c r="B40" s="42">
        <v>0.0</v>
      </c>
      <c r="D40" s="7" t="s">
        <v>374</v>
      </c>
      <c r="E40" s="7">
        <v>200.0</v>
      </c>
      <c r="F40" s="7">
        <v>200.0</v>
      </c>
      <c r="G40" s="7">
        <v>200.0</v>
      </c>
      <c r="H40" s="7">
        <v>200.0</v>
      </c>
      <c r="O40" s="17">
        <f t="shared" si="11"/>
        <v>800</v>
      </c>
    </row>
    <row r="41">
      <c r="A41" s="7" t="s">
        <v>380</v>
      </c>
      <c r="B41" s="42">
        <v>119.43</v>
      </c>
      <c r="D41" s="7"/>
      <c r="E41" s="7"/>
      <c r="F41" s="7"/>
      <c r="G41" s="7"/>
      <c r="H41" s="7"/>
      <c r="O41" s="17"/>
    </row>
    <row r="42">
      <c r="A42" s="7" t="s">
        <v>124</v>
      </c>
      <c r="B42" s="42">
        <v>2029.19</v>
      </c>
      <c r="D42" s="7" t="s">
        <v>297</v>
      </c>
      <c r="E42" s="7">
        <v>300.0</v>
      </c>
      <c r="F42" s="7">
        <v>300.0</v>
      </c>
      <c r="G42" s="7">
        <v>300.0</v>
      </c>
      <c r="H42" s="7">
        <v>300.0</v>
      </c>
      <c r="O42" s="17">
        <f t="shared" ref="O42:O47" si="12">SUM(E42:N42)</f>
        <v>1200</v>
      </c>
    </row>
    <row r="43">
      <c r="A43" s="7" t="s">
        <v>125</v>
      </c>
      <c r="B43" s="42">
        <v>170.5</v>
      </c>
      <c r="O43" s="17">
        <f t="shared" si="12"/>
        <v>0</v>
      </c>
    </row>
    <row r="44">
      <c r="A44" s="7" t="s">
        <v>126</v>
      </c>
      <c r="B44" s="42">
        <v>364.44</v>
      </c>
      <c r="O44" s="17">
        <f t="shared" si="12"/>
        <v>0</v>
      </c>
    </row>
    <row r="45">
      <c r="A45" s="7" t="s">
        <v>128</v>
      </c>
      <c r="B45" s="42">
        <v>918.21</v>
      </c>
      <c r="O45" s="17">
        <f t="shared" si="12"/>
        <v>0</v>
      </c>
    </row>
    <row r="46">
      <c r="A46" s="7" t="s">
        <v>129</v>
      </c>
      <c r="B46" s="42">
        <v>1000.0</v>
      </c>
      <c r="D46" s="7"/>
      <c r="O46" s="17">
        <f t="shared" si="12"/>
        <v>0</v>
      </c>
    </row>
    <row r="47">
      <c r="A47" s="7" t="s">
        <v>207</v>
      </c>
      <c r="B47" s="42">
        <v>828.78</v>
      </c>
      <c r="D47" s="7"/>
      <c r="E47" s="7"/>
      <c r="F47" s="7"/>
      <c r="G47" s="7"/>
      <c r="H47" s="7"/>
      <c r="J47" s="7"/>
      <c r="K47" s="7"/>
      <c r="O47" s="17">
        <f t="shared" si="12"/>
        <v>0</v>
      </c>
    </row>
    <row r="48">
      <c r="A48" s="7" t="s">
        <v>381</v>
      </c>
      <c r="B48" s="43">
        <f>E79</f>
        <v>0</v>
      </c>
      <c r="O48" s="17">
        <f>SUM(O39:O47)</f>
        <v>4000</v>
      </c>
    </row>
    <row r="49">
      <c r="B49" s="43"/>
    </row>
    <row r="50">
      <c r="A50" s="7" t="s">
        <v>200</v>
      </c>
      <c r="B50" s="43">
        <f>SUM(B39:B48)</f>
        <v>9430.55</v>
      </c>
    </row>
    <row r="51">
      <c r="A51" s="17"/>
      <c r="B51" s="17"/>
      <c r="C51" s="17"/>
      <c r="D51" s="22" t="s">
        <v>209</v>
      </c>
      <c r="E51" s="22" t="s">
        <v>121</v>
      </c>
      <c r="F51" s="22" t="s">
        <v>210</v>
      </c>
      <c r="G51" s="22" t="s">
        <v>211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>
      <c r="B52" s="7" t="s">
        <v>347</v>
      </c>
      <c r="C52" s="7" t="s">
        <v>348</v>
      </c>
    </row>
    <row r="53">
      <c r="A53" s="7" t="s">
        <v>214</v>
      </c>
      <c r="B53" s="42">
        <f t="shared" ref="B53:C53" si="13">J34</f>
        <v>10755</v>
      </c>
      <c r="C53" s="42">
        <f t="shared" si="13"/>
        <v>4560</v>
      </c>
      <c r="E53" s="42"/>
    </row>
    <row r="54">
      <c r="A54" s="7" t="s">
        <v>217</v>
      </c>
      <c r="B54" s="43">
        <f>B50</f>
        <v>9430.55</v>
      </c>
      <c r="C54" s="43">
        <f>B50</f>
        <v>9430.55</v>
      </c>
      <c r="E54" s="42"/>
    </row>
    <row r="55">
      <c r="E55" s="42"/>
    </row>
    <row r="56">
      <c r="A56" s="44" t="s">
        <v>221</v>
      </c>
      <c r="B56" s="74">
        <f>B53-B54</f>
        <v>1324.45</v>
      </c>
      <c r="C56" s="74">
        <f>SUM(C53-C54)</f>
        <v>-4870.55</v>
      </c>
      <c r="D56" s="75"/>
      <c r="E56" s="42"/>
    </row>
    <row r="57">
      <c r="E57" s="43"/>
    </row>
    <row r="58">
      <c r="A58" s="7" t="s">
        <v>361</v>
      </c>
      <c r="E58" s="43"/>
    </row>
    <row r="59">
      <c r="E59" s="43"/>
    </row>
    <row r="60">
      <c r="E60" s="43"/>
    </row>
    <row r="61">
      <c r="E61" s="43"/>
    </row>
    <row r="62">
      <c r="E62" s="43"/>
    </row>
    <row r="63">
      <c r="E63" s="43"/>
    </row>
    <row r="64">
      <c r="E64" s="42"/>
    </row>
    <row r="65">
      <c r="E65" s="42"/>
    </row>
    <row r="66">
      <c r="E66" s="42"/>
    </row>
    <row r="67">
      <c r="E67" s="43"/>
    </row>
    <row r="68">
      <c r="E68" s="43"/>
    </row>
    <row r="69">
      <c r="E69" s="43"/>
    </row>
    <row r="70">
      <c r="E70" s="43"/>
    </row>
    <row r="71">
      <c r="E71" s="43"/>
    </row>
    <row r="72">
      <c r="E72" s="43"/>
    </row>
    <row r="73">
      <c r="E73" s="43"/>
    </row>
    <row r="74">
      <c r="E74" s="43"/>
    </row>
    <row r="75">
      <c r="E75" s="43"/>
    </row>
    <row r="76">
      <c r="E76" s="43"/>
    </row>
    <row r="77">
      <c r="D77" s="7"/>
      <c r="E77" s="43"/>
    </row>
    <row r="78">
      <c r="D78" s="7"/>
      <c r="E78" s="43"/>
    </row>
    <row r="79">
      <c r="D79" s="7" t="s">
        <v>200</v>
      </c>
      <c r="E79" s="43">
        <f>SUM(E52:E75)</f>
        <v>0</v>
      </c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25"/>
    <col customWidth="1" min="2" max="2" width="26.13"/>
    <col customWidth="1" min="4" max="4" width="19.25"/>
    <col customWidth="1" min="6" max="6" width="18.63"/>
    <col customWidth="1" min="7" max="7" width="15.75"/>
    <col customWidth="1" min="8" max="8" width="19.0"/>
    <col customWidth="1" min="9" max="9" width="18.88"/>
    <col customWidth="1" min="12" max="12" width="17.75"/>
    <col customWidth="1" min="13" max="13" width="14.75"/>
    <col customWidth="1" min="14" max="14" width="15.5"/>
    <col customWidth="1" min="15" max="15" width="16.75"/>
    <col customWidth="1" min="18" max="18" width="19.38"/>
    <col customWidth="1" min="19" max="19" width="17.25"/>
  </cols>
  <sheetData>
    <row r="1">
      <c r="A1" s="44" t="s">
        <v>36</v>
      </c>
      <c r="B1" s="44" t="s">
        <v>37</v>
      </c>
      <c r="C1" s="44" t="s">
        <v>2</v>
      </c>
      <c r="D1" s="44" t="s">
        <v>38</v>
      </c>
      <c r="E1" s="44" t="s">
        <v>39</v>
      </c>
      <c r="F1" s="44" t="s">
        <v>40</v>
      </c>
      <c r="G1" s="44" t="s">
        <v>3</v>
      </c>
      <c r="H1" s="44" t="s">
        <v>7</v>
      </c>
      <c r="I1" s="44" t="s">
        <v>246</v>
      </c>
      <c r="J1" s="44" t="s">
        <v>41</v>
      </c>
      <c r="K1" s="44" t="s">
        <v>42</v>
      </c>
      <c r="L1" s="44" t="s">
        <v>43</v>
      </c>
      <c r="M1" s="44" t="s">
        <v>44</v>
      </c>
      <c r="N1" s="44"/>
      <c r="O1" s="44" t="s">
        <v>46</v>
      </c>
      <c r="P1" s="44" t="s">
        <v>47</v>
      </c>
      <c r="Q1" s="44" t="s">
        <v>44</v>
      </c>
      <c r="R1" s="12"/>
      <c r="S1" s="12"/>
      <c r="T1" s="13"/>
      <c r="U1" s="13"/>
      <c r="V1" s="13"/>
      <c r="W1" s="13"/>
      <c r="X1" s="13"/>
      <c r="Y1" s="13"/>
      <c r="Z1" s="13"/>
      <c r="AA1" s="13"/>
      <c r="AB1" s="13"/>
    </row>
    <row r="2">
      <c r="A2" s="44" t="s">
        <v>367</v>
      </c>
      <c r="B2" s="44" t="s">
        <v>37</v>
      </c>
      <c r="C2" s="44" t="s">
        <v>2</v>
      </c>
      <c r="D2" s="44" t="s">
        <v>38</v>
      </c>
      <c r="E2" s="44" t="s">
        <v>39</v>
      </c>
      <c r="F2" s="44" t="s">
        <v>40</v>
      </c>
      <c r="G2" s="44" t="s">
        <v>3</v>
      </c>
      <c r="H2" s="44" t="s">
        <v>7</v>
      </c>
      <c r="I2" s="44" t="s">
        <v>246</v>
      </c>
      <c r="J2" s="44" t="s">
        <v>41</v>
      </c>
      <c r="K2" s="44" t="s">
        <v>368</v>
      </c>
      <c r="L2" s="44" t="s">
        <v>43</v>
      </c>
      <c r="M2" s="44" t="s">
        <v>44</v>
      </c>
      <c r="N2" s="44" t="s">
        <v>45</v>
      </c>
      <c r="O2" s="44" t="s">
        <v>46</v>
      </c>
      <c r="P2" s="44" t="s">
        <v>47</v>
      </c>
      <c r="Q2" s="44" t="s">
        <v>247</v>
      </c>
      <c r="R2" s="12" t="s">
        <v>333</v>
      </c>
      <c r="S2" s="12" t="s">
        <v>334</v>
      </c>
      <c r="T2" s="12" t="s">
        <v>335</v>
      </c>
      <c r="U2" s="12" t="s">
        <v>336</v>
      </c>
      <c r="V2" s="12" t="s">
        <v>337</v>
      </c>
    </row>
    <row r="3">
      <c r="A3" s="82">
        <v>100.0</v>
      </c>
      <c r="B3" s="85"/>
      <c r="C3" s="84"/>
      <c r="D3" s="82"/>
      <c r="E3" s="84"/>
      <c r="F3" s="85"/>
      <c r="G3" s="83" t="s">
        <v>8</v>
      </c>
      <c r="H3" s="85"/>
      <c r="I3" s="83" t="s">
        <v>266</v>
      </c>
      <c r="J3" s="84">
        <f>Sum(C3+E3)</f>
        <v>0</v>
      </c>
      <c r="K3" s="84"/>
      <c r="L3" s="84">
        <f t="shared" ref="L3:L11" si="1">SUM(J3-K3)</f>
        <v>0</v>
      </c>
      <c r="M3" s="86">
        <v>45870.0</v>
      </c>
      <c r="N3" s="83">
        <v>8534.0</v>
      </c>
      <c r="O3" s="83" t="s">
        <v>341</v>
      </c>
      <c r="P3" s="85"/>
      <c r="Q3" s="86">
        <v>45855.0</v>
      </c>
      <c r="R3" s="83">
        <v>8510.0</v>
      </c>
      <c r="S3" s="86"/>
      <c r="T3" s="85"/>
      <c r="U3" s="86"/>
      <c r="V3" s="85"/>
    </row>
    <row r="4">
      <c r="A4" s="8">
        <v>101.0</v>
      </c>
      <c r="B4" s="7" t="s">
        <v>10</v>
      </c>
      <c r="C4" s="42">
        <v>640.0</v>
      </c>
      <c r="D4" s="8"/>
      <c r="E4" s="43"/>
      <c r="G4" s="7" t="s">
        <v>8</v>
      </c>
      <c r="I4" s="7" t="s">
        <v>253</v>
      </c>
      <c r="J4" s="42">
        <f t="shared" ref="J4:J5" si="2">sum(C4+E4)</f>
        <v>640</v>
      </c>
      <c r="K4" s="42">
        <v>640.0</v>
      </c>
      <c r="L4" s="42">
        <f t="shared" si="1"/>
        <v>0</v>
      </c>
      <c r="M4" s="10">
        <v>45870.0</v>
      </c>
      <c r="N4" s="7">
        <v>8530.0</v>
      </c>
      <c r="O4" s="7" t="s">
        <v>140</v>
      </c>
    </row>
    <row r="5">
      <c r="A5" s="8">
        <v>102.0</v>
      </c>
      <c r="B5" s="7" t="s">
        <v>362</v>
      </c>
      <c r="C5" s="42">
        <v>600.0</v>
      </c>
      <c r="D5" s="8"/>
      <c r="E5" s="42"/>
      <c r="G5" s="7" t="s">
        <v>8</v>
      </c>
      <c r="H5" s="7" t="s">
        <v>377</v>
      </c>
      <c r="I5" s="7" t="s">
        <v>253</v>
      </c>
      <c r="J5" s="42">
        <f t="shared" si="2"/>
        <v>600</v>
      </c>
      <c r="K5" s="42">
        <v>450.0</v>
      </c>
      <c r="L5" s="42">
        <f t="shared" si="1"/>
        <v>150</v>
      </c>
      <c r="M5" s="47"/>
    </row>
    <row r="6">
      <c r="A6" s="8">
        <v>103.0</v>
      </c>
      <c r="B6" s="7" t="s">
        <v>13</v>
      </c>
      <c r="C6" s="42">
        <v>640.0</v>
      </c>
      <c r="D6" s="8"/>
      <c r="E6" s="43"/>
      <c r="G6" s="7" t="s">
        <v>8</v>
      </c>
      <c r="I6" s="7" t="s">
        <v>253</v>
      </c>
      <c r="J6" s="42">
        <f>Sum(C6+E6)</f>
        <v>640</v>
      </c>
      <c r="K6" s="42">
        <v>0.0</v>
      </c>
      <c r="L6" s="42">
        <f t="shared" si="1"/>
        <v>640</v>
      </c>
      <c r="M6" s="47"/>
      <c r="Q6" s="47"/>
      <c r="S6" s="47"/>
    </row>
    <row r="7">
      <c r="A7" s="8">
        <v>104.0</v>
      </c>
      <c r="B7" s="7" t="s">
        <v>14</v>
      </c>
      <c r="C7" s="42">
        <v>700.0</v>
      </c>
      <c r="D7" s="8"/>
      <c r="E7" s="42"/>
      <c r="F7" s="7"/>
      <c r="G7" s="7" t="s">
        <v>8</v>
      </c>
      <c r="I7" s="7" t="s">
        <v>253</v>
      </c>
      <c r="J7" s="42">
        <f t="shared" ref="J7:J26" si="3">sum(C7+E7)</f>
        <v>700</v>
      </c>
      <c r="K7" s="42">
        <v>700.0</v>
      </c>
      <c r="L7" s="42">
        <f t="shared" si="1"/>
        <v>0</v>
      </c>
      <c r="M7" s="47">
        <v>45863.0</v>
      </c>
      <c r="N7" s="7">
        <v>8525.0</v>
      </c>
      <c r="O7" s="7" t="s">
        <v>80</v>
      </c>
      <c r="P7" s="7"/>
      <c r="Q7" s="55"/>
    </row>
    <row r="8">
      <c r="A8" s="82">
        <v>105.0</v>
      </c>
      <c r="B8" s="83"/>
      <c r="C8" s="84"/>
      <c r="D8" s="82"/>
      <c r="E8" s="84"/>
      <c r="F8" s="85"/>
      <c r="G8" s="83" t="s">
        <v>8</v>
      </c>
      <c r="H8" s="83"/>
      <c r="I8" s="83" t="s">
        <v>249</v>
      </c>
      <c r="J8" s="84">
        <f t="shared" si="3"/>
        <v>0</v>
      </c>
      <c r="K8" s="84"/>
      <c r="L8" s="84">
        <f t="shared" si="1"/>
        <v>0</v>
      </c>
      <c r="M8" s="86"/>
      <c r="N8" s="85"/>
      <c r="O8" s="83" t="s">
        <v>140</v>
      </c>
      <c r="P8" s="85"/>
      <c r="Q8" s="85"/>
      <c r="R8" s="85"/>
      <c r="S8" s="85"/>
      <c r="T8" s="85"/>
      <c r="U8" s="85"/>
      <c r="V8" s="85"/>
    </row>
    <row r="9">
      <c r="A9" s="8">
        <v>106.0</v>
      </c>
      <c r="B9" s="7" t="s">
        <v>363</v>
      </c>
      <c r="C9" s="42">
        <v>640.0</v>
      </c>
      <c r="E9" s="42">
        <v>50.0</v>
      </c>
      <c r="G9" s="7" t="s">
        <v>8</v>
      </c>
      <c r="I9" s="7" t="s">
        <v>249</v>
      </c>
      <c r="J9" s="42">
        <f t="shared" si="3"/>
        <v>690</v>
      </c>
      <c r="K9" s="42">
        <v>0.0</v>
      </c>
      <c r="L9" s="42">
        <f t="shared" si="1"/>
        <v>690</v>
      </c>
      <c r="P9" s="7" t="s">
        <v>364</v>
      </c>
    </row>
    <row r="10">
      <c r="A10" s="82">
        <v>107.0</v>
      </c>
      <c r="B10" s="85"/>
      <c r="C10" s="84"/>
      <c r="D10" s="85"/>
      <c r="E10" s="84"/>
      <c r="F10" s="85"/>
      <c r="G10" s="83" t="s">
        <v>11</v>
      </c>
      <c r="H10" s="85"/>
      <c r="I10" s="85"/>
      <c r="J10" s="96">
        <f t="shared" si="3"/>
        <v>0</v>
      </c>
      <c r="K10" s="96"/>
      <c r="L10" s="84">
        <f t="shared" si="1"/>
        <v>0</v>
      </c>
      <c r="M10" s="85"/>
      <c r="N10" s="85"/>
      <c r="O10" s="85"/>
      <c r="P10" s="85"/>
      <c r="Q10" s="85"/>
      <c r="R10" s="85"/>
      <c r="S10" s="85"/>
      <c r="T10" s="85"/>
      <c r="U10" s="85"/>
      <c r="V10" s="85"/>
    </row>
    <row r="11">
      <c r="A11" s="82">
        <v>108.0</v>
      </c>
      <c r="B11" s="85"/>
      <c r="C11" s="84"/>
      <c r="D11" s="85"/>
      <c r="E11" s="84"/>
      <c r="F11" s="85"/>
      <c r="G11" s="83" t="s">
        <v>11</v>
      </c>
      <c r="H11" s="85"/>
      <c r="I11" s="85"/>
      <c r="J11" s="96">
        <f t="shared" si="3"/>
        <v>0</v>
      </c>
      <c r="K11" s="84"/>
      <c r="L11" s="84">
        <f t="shared" si="1"/>
        <v>0</v>
      </c>
      <c r="M11" s="93"/>
      <c r="N11" s="85"/>
      <c r="O11" s="85"/>
      <c r="P11" s="85"/>
      <c r="Q11" s="85"/>
      <c r="R11" s="85"/>
      <c r="S11" s="85"/>
      <c r="T11" s="85"/>
      <c r="U11" s="85"/>
      <c r="V11" s="85"/>
    </row>
    <row r="12">
      <c r="A12" s="8">
        <v>109.0</v>
      </c>
      <c r="B12" s="7" t="s">
        <v>339</v>
      </c>
      <c r="C12" s="42">
        <v>600.0</v>
      </c>
      <c r="D12" s="8"/>
      <c r="E12" s="43"/>
      <c r="G12" s="7" t="s">
        <v>8</v>
      </c>
      <c r="I12" s="7" t="s">
        <v>249</v>
      </c>
      <c r="J12" s="42">
        <f t="shared" si="3"/>
        <v>600</v>
      </c>
      <c r="K12" s="42">
        <v>300.0</v>
      </c>
      <c r="L12" s="42">
        <f>sum(J12-K12)</f>
        <v>300</v>
      </c>
      <c r="M12" s="47">
        <v>45862.0</v>
      </c>
      <c r="N12" s="7">
        <v>8518.0</v>
      </c>
      <c r="Q12" s="47">
        <v>45870.0</v>
      </c>
      <c r="R12" s="7">
        <v>8527.0</v>
      </c>
      <c r="S12" s="47">
        <v>45876.0</v>
      </c>
      <c r="T12" s="7">
        <v>8542.0</v>
      </c>
      <c r="U12" s="47"/>
      <c r="V12" s="7">
        <v>8512.0</v>
      </c>
    </row>
    <row r="13">
      <c r="A13" s="82">
        <v>110.0</v>
      </c>
      <c r="B13" s="83"/>
      <c r="C13" s="84"/>
      <c r="D13" s="83"/>
      <c r="E13" s="84"/>
      <c r="F13" s="85"/>
      <c r="G13" s="83" t="s">
        <v>8</v>
      </c>
      <c r="H13" s="85"/>
      <c r="I13" s="83" t="s">
        <v>249</v>
      </c>
      <c r="J13" s="84">
        <f t="shared" si="3"/>
        <v>0</v>
      </c>
      <c r="K13" s="84"/>
      <c r="L13" s="84">
        <f t="shared" ref="L13:L14" si="4">SUM(J13-K13)</f>
        <v>0</v>
      </c>
      <c r="M13" s="86">
        <v>45870.0</v>
      </c>
      <c r="N13" s="83">
        <v>8537.0</v>
      </c>
      <c r="O13" s="83" t="s">
        <v>140</v>
      </c>
      <c r="P13" s="85"/>
      <c r="Q13" s="85"/>
      <c r="R13" s="85"/>
      <c r="S13" s="85"/>
      <c r="T13" s="85"/>
      <c r="U13" s="85"/>
      <c r="V13" s="85"/>
    </row>
    <row r="14">
      <c r="A14" s="8">
        <v>111.0</v>
      </c>
      <c r="B14" s="7" t="s">
        <v>19</v>
      </c>
      <c r="C14" s="42">
        <v>600.0</v>
      </c>
      <c r="D14" s="8"/>
      <c r="E14" s="43"/>
      <c r="G14" s="7" t="s">
        <v>8</v>
      </c>
      <c r="I14" s="7" t="s">
        <v>253</v>
      </c>
      <c r="J14" s="42">
        <f t="shared" si="3"/>
        <v>600</v>
      </c>
      <c r="K14" s="42">
        <v>600.0</v>
      </c>
      <c r="L14" s="42">
        <f t="shared" si="4"/>
        <v>0</v>
      </c>
      <c r="M14" s="47">
        <v>45873.0</v>
      </c>
      <c r="N14" s="7">
        <v>8540.0</v>
      </c>
      <c r="O14" s="7" t="s">
        <v>140</v>
      </c>
    </row>
    <row r="15">
      <c r="A15" s="8">
        <v>112.0</v>
      </c>
      <c r="B15" s="7" t="s">
        <v>365</v>
      </c>
      <c r="C15" s="42">
        <v>600.0</v>
      </c>
      <c r="D15" s="8"/>
      <c r="E15" s="42"/>
      <c r="G15" s="7" t="s">
        <v>8</v>
      </c>
      <c r="I15" s="7" t="s">
        <v>249</v>
      </c>
      <c r="J15" s="42">
        <f t="shared" si="3"/>
        <v>600</v>
      </c>
      <c r="K15" s="42">
        <v>150.0</v>
      </c>
      <c r="L15" s="42">
        <f t="shared" ref="L15:L17" si="5">sum(J15-K15)</f>
        <v>450</v>
      </c>
      <c r="M15" s="47"/>
      <c r="N15" s="7"/>
      <c r="O15" s="7"/>
    </row>
    <row r="16">
      <c r="A16" s="8">
        <v>113.0</v>
      </c>
      <c r="B16" s="7" t="s">
        <v>21</v>
      </c>
      <c r="C16" s="42">
        <v>600.0</v>
      </c>
      <c r="D16" s="8"/>
      <c r="E16" s="42">
        <v>-150.0</v>
      </c>
      <c r="F16" s="7" t="s">
        <v>378</v>
      </c>
      <c r="G16" s="7" t="s">
        <v>8</v>
      </c>
      <c r="I16" s="7" t="s">
        <v>253</v>
      </c>
      <c r="J16" s="42">
        <f t="shared" si="3"/>
        <v>450</v>
      </c>
      <c r="K16" s="42">
        <v>450.0</v>
      </c>
      <c r="L16" s="42">
        <f t="shared" si="5"/>
        <v>0</v>
      </c>
      <c r="M16" s="49">
        <v>45870.0</v>
      </c>
      <c r="N16" s="7">
        <v>8533.0</v>
      </c>
      <c r="O16" s="7" t="s">
        <v>69</v>
      </c>
    </row>
    <row r="17">
      <c r="A17" s="82">
        <v>114.0</v>
      </c>
      <c r="B17" s="85"/>
      <c r="C17" s="84"/>
      <c r="D17" s="82"/>
      <c r="E17" s="84"/>
      <c r="F17" s="85"/>
      <c r="G17" s="83" t="s">
        <v>8</v>
      </c>
      <c r="H17" s="85"/>
      <c r="I17" s="83" t="s">
        <v>249</v>
      </c>
      <c r="J17" s="84">
        <f t="shared" si="3"/>
        <v>0</v>
      </c>
      <c r="K17" s="84"/>
      <c r="L17" s="84">
        <f t="shared" si="5"/>
        <v>0</v>
      </c>
      <c r="M17" s="93">
        <v>45863.0</v>
      </c>
      <c r="N17" s="83">
        <v>8524.0</v>
      </c>
      <c r="O17" s="83" t="s">
        <v>69</v>
      </c>
      <c r="P17" s="85"/>
      <c r="Q17" s="86">
        <v>45849.0</v>
      </c>
      <c r="R17" s="83">
        <v>8506.0</v>
      </c>
      <c r="S17" s="86"/>
      <c r="T17" s="85"/>
      <c r="U17" s="85"/>
      <c r="V17" s="85"/>
    </row>
    <row r="18">
      <c r="A18" s="82">
        <v>215.0</v>
      </c>
      <c r="B18" s="85"/>
      <c r="C18" s="84"/>
      <c r="D18" s="82"/>
      <c r="E18" s="84"/>
      <c r="F18" s="85"/>
      <c r="G18" s="83" t="s">
        <v>8</v>
      </c>
      <c r="H18" s="85"/>
      <c r="I18" s="83"/>
      <c r="J18" s="84">
        <f t="shared" si="3"/>
        <v>0</v>
      </c>
      <c r="K18" s="84"/>
      <c r="L18" s="84">
        <f>SUM(J18-K18)</f>
        <v>0</v>
      </c>
      <c r="M18" s="86"/>
      <c r="N18" s="83"/>
      <c r="O18" s="83"/>
      <c r="P18" s="85"/>
      <c r="Q18" s="86">
        <v>45849.0</v>
      </c>
      <c r="R18" s="83">
        <v>8504.0</v>
      </c>
      <c r="S18" s="85"/>
      <c r="T18" s="85"/>
      <c r="U18" s="85"/>
      <c r="V18" s="85"/>
    </row>
    <row r="19">
      <c r="A19" s="8">
        <v>216.0</v>
      </c>
      <c r="B19" s="7" t="s">
        <v>22</v>
      </c>
      <c r="C19" s="42">
        <v>640.0</v>
      </c>
      <c r="D19" s="8"/>
      <c r="E19" s="43"/>
      <c r="G19" s="7" t="s">
        <v>8</v>
      </c>
      <c r="I19" s="7" t="s">
        <v>249</v>
      </c>
      <c r="J19" s="42">
        <f t="shared" si="3"/>
        <v>640</v>
      </c>
      <c r="K19" s="42">
        <v>0.0</v>
      </c>
      <c r="L19" s="42">
        <f>sum(J19-K19)</f>
        <v>640</v>
      </c>
      <c r="M19" s="47">
        <v>45863.0</v>
      </c>
      <c r="N19" s="7">
        <v>8526.0</v>
      </c>
      <c r="O19" s="7" t="s">
        <v>140</v>
      </c>
      <c r="Q19" s="47">
        <v>45870.0</v>
      </c>
      <c r="R19" s="7">
        <v>8531.0</v>
      </c>
      <c r="S19" s="47"/>
      <c r="U19" s="47"/>
    </row>
    <row r="20">
      <c r="A20" s="97">
        <v>217.0</v>
      </c>
      <c r="B20" s="98"/>
      <c r="C20" s="99"/>
      <c r="D20" s="97"/>
      <c r="E20" s="99"/>
      <c r="F20" s="101"/>
      <c r="G20" s="98" t="s">
        <v>11</v>
      </c>
      <c r="H20" s="101"/>
      <c r="I20" s="98"/>
      <c r="J20" s="99">
        <f t="shared" si="3"/>
        <v>0</v>
      </c>
      <c r="K20" s="99"/>
      <c r="L20" s="99">
        <f t="shared" ref="L20:L21" si="6">SUM(J20-K20)</f>
        <v>0</v>
      </c>
      <c r="M20" s="102">
        <v>45872.0</v>
      </c>
      <c r="N20" s="98">
        <v>8539.0</v>
      </c>
      <c r="O20" s="98" t="s">
        <v>140</v>
      </c>
      <c r="P20" s="101"/>
      <c r="Q20" s="101"/>
      <c r="R20" s="101"/>
      <c r="S20" s="101"/>
      <c r="T20" s="101"/>
      <c r="U20" s="101"/>
      <c r="V20" s="101"/>
    </row>
    <row r="21">
      <c r="A21" s="82">
        <v>218.0</v>
      </c>
      <c r="B21" s="83"/>
      <c r="C21" s="84"/>
      <c r="D21" s="82"/>
      <c r="E21" s="84"/>
      <c r="F21" s="83"/>
      <c r="G21" s="83" t="s">
        <v>11</v>
      </c>
      <c r="H21" s="83"/>
      <c r="I21" s="83"/>
      <c r="J21" s="84">
        <f t="shared" si="3"/>
        <v>0</v>
      </c>
      <c r="K21" s="84"/>
      <c r="L21" s="84">
        <f t="shared" si="6"/>
        <v>0</v>
      </c>
      <c r="M21" s="93"/>
      <c r="N21" s="85"/>
      <c r="O21" s="85"/>
      <c r="P21" s="83"/>
      <c r="Q21" s="94"/>
      <c r="R21" s="85"/>
      <c r="S21" s="85"/>
      <c r="T21" s="85"/>
      <c r="U21" s="85"/>
      <c r="V21" s="85"/>
    </row>
    <row r="22">
      <c r="A22" s="82">
        <v>219.0</v>
      </c>
      <c r="B22" s="83"/>
      <c r="C22" s="84"/>
      <c r="D22" s="82"/>
      <c r="E22" s="84"/>
      <c r="F22" s="85"/>
      <c r="G22" s="83" t="s">
        <v>8</v>
      </c>
      <c r="H22" s="85"/>
      <c r="I22" s="83" t="s">
        <v>266</v>
      </c>
      <c r="J22" s="84">
        <f t="shared" si="3"/>
        <v>0</v>
      </c>
      <c r="K22" s="84"/>
      <c r="L22" s="84">
        <f>sum(J22-K22)</f>
        <v>0</v>
      </c>
      <c r="M22" s="86">
        <v>45863.0</v>
      </c>
      <c r="N22" s="83">
        <v>8519.0</v>
      </c>
      <c r="O22" s="83" t="s">
        <v>80</v>
      </c>
      <c r="P22" s="85"/>
      <c r="Q22" s="86"/>
      <c r="R22" s="85"/>
      <c r="S22" s="85"/>
      <c r="T22" s="85"/>
      <c r="U22" s="85"/>
      <c r="V22" s="85"/>
    </row>
    <row r="23">
      <c r="A23" s="8">
        <v>220.0</v>
      </c>
      <c r="B23" s="7" t="s">
        <v>345</v>
      </c>
      <c r="C23" s="42">
        <v>650.0</v>
      </c>
      <c r="D23" s="8"/>
      <c r="E23" s="42">
        <v>325.0</v>
      </c>
      <c r="G23" s="7" t="s">
        <v>8</v>
      </c>
      <c r="I23" s="7" t="s">
        <v>249</v>
      </c>
      <c r="J23" s="42">
        <f t="shared" si="3"/>
        <v>975</v>
      </c>
      <c r="K23" s="42">
        <v>320.0</v>
      </c>
      <c r="L23" s="42">
        <f t="shared" ref="L23:L27" si="7">SUM(J23-K23)</f>
        <v>655</v>
      </c>
      <c r="M23" s="47">
        <v>45870.0</v>
      </c>
      <c r="N23" s="7">
        <v>8538.0</v>
      </c>
      <c r="O23" s="7" t="s">
        <v>140</v>
      </c>
      <c r="Q23" s="47">
        <v>45877.0</v>
      </c>
      <c r="R23" s="7">
        <v>8547.0</v>
      </c>
    </row>
    <row r="24">
      <c r="A24" s="60">
        <v>221.0</v>
      </c>
      <c r="B24" s="14" t="s">
        <v>25</v>
      </c>
      <c r="C24" s="61">
        <v>650.0</v>
      </c>
      <c r="D24" s="60"/>
      <c r="E24" s="61">
        <v>400.0</v>
      </c>
      <c r="F24" s="15"/>
      <c r="G24" s="14" t="s">
        <v>8</v>
      </c>
      <c r="H24" s="15"/>
      <c r="I24" s="14" t="s">
        <v>253</v>
      </c>
      <c r="J24" s="61">
        <f t="shared" si="3"/>
        <v>1050</v>
      </c>
      <c r="K24" s="61">
        <v>350.0</v>
      </c>
      <c r="L24" s="61">
        <f t="shared" si="7"/>
        <v>700</v>
      </c>
      <c r="M24" s="71">
        <v>45869.0</v>
      </c>
      <c r="N24" s="14">
        <v>8529.0</v>
      </c>
      <c r="O24" s="14" t="s">
        <v>140</v>
      </c>
      <c r="P24" s="15"/>
      <c r="Q24" s="64"/>
      <c r="R24" s="15"/>
      <c r="S24" s="15"/>
      <c r="T24" s="15"/>
      <c r="U24" s="15"/>
      <c r="V24" s="15"/>
    </row>
    <row r="25">
      <c r="A25" s="82">
        <v>222.0</v>
      </c>
      <c r="B25" s="85"/>
      <c r="C25" s="84"/>
      <c r="D25" s="85"/>
      <c r="E25" s="84"/>
      <c r="F25" s="85"/>
      <c r="G25" s="83" t="s">
        <v>11</v>
      </c>
      <c r="H25" s="85"/>
      <c r="I25" s="83"/>
      <c r="J25" s="84">
        <f t="shared" si="3"/>
        <v>0</v>
      </c>
      <c r="K25" s="84">
        <v>0.0</v>
      </c>
      <c r="L25" s="84">
        <f t="shared" si="7"/>
        <v>0</v>
      </c>
      <c r="M25" s="85"/>
      <c r="N25" s="85"/>
      <c r="O25" s="85"/>
      <c r="P25" s="85"/>
      <c r="Q25" s="86"/>
      <c r="R25" s="85"/>
      <c r="S25" s="86"/>
      <c r="T25" s="85"/>
      <c r="U25" s="85"/>
      <c r="V25" s="85"/>
    </row>
    <row r="26">
      <c r="A26" s="82">
        <v>223.0</v>
      </c>
      <c r="B26" s="85"/>
      <c r="C26" s="84"/>
      <c r="D26" s="85"/>
      <c r="E26" s="84"/>
      <c r="F26" s="85"/>
      <c r="G26" s="83" t="s">
        <v>11</v>
      </c>
      <c r="H26" s="85"/>
      <c r="I26" s="85"/>
      <c r="J26" s="96">
        <f t="shared" si="3"/>
        <v>0</v>
      </c>
      <c r="K26" s="96"/>
      <c r="L26" s="84">
        <f t="shared" si="7"/>
        <v>0</v>
      </c>
      <c r="M26" s="85"/>
      <c r="N26" s="85"/>
      <c r="O26" s="85"/>
      <c r="P26" s="85"/>
      <c r="Q26" s="85"/>
      <c r="R26" s="85"/>
      <c r="S26" s="85"/>
      <c r="T26" s="85"/>
      <c r="U26" s="85"/>
      <c r="V26" s="85"/>
    </row>
    <row r="27">
      <c r="A27" s="82">
        <v>224.0</v>
      </c>
      <c r="B27" s="85"/>
      <c r="C27" s="84"/>
      <c r="D27" s="85"/>
      <c r="E27" s="84"/>
      <c r="F27" s="85"/>
      <c r="G27" s="83" t="s">
        <v>11</v>
      </c>
      <c r="H27" s="85"/>
      <c r="I27" s="103"/>
      <c r="J27" s="96">
        <f>Sum(C27+E27)</f>
        <v>0</v>
      </c>
      <c r="K27" s="96"/>
      <c r="L27" s="84">
        <f t="shared" si="7"/>
        <v>0</v>
      </c>
      <c r="M27" s="85"/>
      <c r="N27" s="85"/>
      <c r="O27" s="85"/>
      <c r="P27" s="85"/>
      <c r="Q27" s="85"/>
      <c r="R27" s="85"/>
      <c r="S27" s="85"/>
      <c r="T27" s="85"/>
      <c r="U27" s="85"/>
      <c r="V27" s="85"/>
    </row>
    <row r="28">
      <c r="A28" s="82">
        <v>225.0</v>
      </c>
      <c r="B28" s="85"/>
      <c r="C28" s="84"/>
      <c r="D28" s="82"/>
      <c r="E28" s="84"/>
      <c r="F28" s="85"/>
      <c r="G28" s="83" t="s">
        <v>8</v>
      </c>
      <c r="H28" s="85"/>
      <c r="I28" s="83" t="s">
        <v>249</v>
      </c>
      <c r="J28" s="84">
        <f t="shared" ref="J28:J33" si="8">sum(C28+E28)</f>
        <v>0</v>
      </c>
      <c r="K28" s="113">
        <v>0.0</v>
      </c>
      <c r="L28" s="84">
        <f>sum(J28-K28)</f>
        <v>0</v>
      </c>
      <c r="M28" s="114">
        <v>45863.0</v>
      </c>
      <c r="N28" s="83">
        <v>8521.0</v>
      </c>
      <c r="O28" s="83" t="s">
        <v>80</v>
      </c>
      <c r="P28" s="85"/>
      <c r="Q28" s="86">
        <v>45869.0</v>
      </c>
      <c r="R28" s="83">
        <v>8528.0</v>
      </c>
      <c r="S28" s="114">
        <v>45875.0</v>
      </c>
      <c r="T28" s="83">
        <v>8541.0</v>
      </c>
      <c r="U28" s="83" t="s">
        <v>366</v>
      </c>
      <c r="V28" s="85"/>
    </row>
    <row r="29">
      <c r="A29" s="8">
        <v>226.0</v>
      </c>
      <c r="B29" s="7" t="s">
        <v>27</v>
      </c>
      <c r="C29" s="42">
        <v>600.0</v>
      </c>
      <c r="D29" s="8"/>
      <c r="E29" s="42">
        <v>150.0</v>
      </c>
      <c r="G29" s="7" t="s">
        <v>8</v>
      </c>
      <c r="I29" s="7"/>
      <c r="J29" s="42">
        <f t="shared" si="8"/>
        <v>750</v>
      </c>
      <c r="K29" s="59"/>
      <c r="L29" s="42">
        <f t="shared" ref="L29:L33" si="9">SUM(J29-K29)</f>
        <v>750</v>
      </c>
      <c r="M29" s="49">
        <v>45870.0</v>
      </c>
      <c r="N29" s="7">
        <v>8536.0</v>
      </c>
      <c r="O29" s="7" t="s">
        <v>140</v>
      </c>
      <c r="Q29" s="47"/>
      <c r="R29" s="7"/>
    </row>
    <row r="30">
      <c r="A30" s="8">
        <v>227.0</v>
      </c>
      <c r="B30" s="7" t="s">
        <v>101</v>
      </c>
      <c r="C30" s="42">
        <v>600.0</v>
      </c>
      <c r="D30" s="8"/>
      <c r="E30" s="43"/>
      <c r="G30" s="7" t="s">
        <v>8</v>
      </c>
      <c r="I30" s="7" t="s">
        <v>253</v>
      </c>
      <c r="J30" s="42">
        <f t="shared" si="8"/>
        <v>600</v>
      </c>
      <c r="K30" s="59"/>
      <c r="L30" s="42">
        <f t="shared" si="9"/>
        <v>600</v>
      </c>
      <c r="M30" s="10">
        <v>45870.0</v>
      </c>
      <c r="N30" s="7">
        <v>8532.0</v>
      </c>
      <c r="O30" s="7" t="s">
        <v>140</v>
      </c>
    </row>
    <row r="31">
      <c r="A31" s="8">
        <v>228.0</v>
      </c>
      <c r="B31" s="7" t="s">
        <v>29</v>
      </c>
      <c r="C31" s="42">
        <v>600.0</v>
      </c>
      <c r="D31" s="8"/>
      <c r="E31" s="42"/>
      <c r="G31" s="7" t="s">
        <v>8</v>
      </c>
      <c r="I31" s="7" t="s">
        <v>266</v>
      </c>
      <c r="J31" s="42">
        <f t="shared" si="8"/>
        <v>600</v>
      </c>
      <c r="K31" s="58">
        <v>300.0</v>
      </c>
      <c r="L31" s="42">
        <f t="shared" si="9"/>
        <v>300</v>
      </c>
      <c r="M31" s="47">
        <v>45863.0</v>
      </c>
      <c r="N31" s="7">
        <v>8523.0</v>
      </c>
      <c r="O31" s="7" t="s">
        <v>341</v>
      </c>
      <c r="Q31" s="47">
        <v>45877.0</v>
      </c>
      <c r="R31" s="7">
        <v>8545.0</v>
      </c>
    </row>
    <row r="32">
      <c r="A32" s="8">
        <v>229.0</v>
      </c>
      <c r="B32" s="7" t="s">
        <v>71</v>
      </c>
      <c r="C32" s="42">
        <v>620.0</v>
      </c>
      <c r="D32" s="8"/>
      <c r="E32" s="43"/>
      <c r="G32" s="7" t="s">
        <v>8</v>
      </c>
      <c r="I32" s="7" t="s">
        <v>266</v>
      </c>
      <c r="J32" s="42">
        <f t="shared" si="8"/>
        <v>620</v>
      </c>
      <c r="K32" s="59">
        <v>300.0</v>
      </c>
      <c r="L32" s="42">
        <f t="shared" si="9"/>
        <v>320</v>
      </c>
      <c r="M32" s="47">
        <v>45863.0</v>
      </c>
      <c r="N32" s="7">
        <v>8522.0</v>
      </c>
      <c r="O32" s="7" t="s">
        <v>140</v>
      </c>
      <c r="Q32" s="47">
        <v>45877.0</v>
      </c>
      <c r="R32" s="7">
        <v>8544.0</v>
      </c>
    </row>
    <row r="33">
      <c r="A33" s="66">
        <v>230.0</v>
      </c>
      <c r="B33" s="69"/>
      <c r="C33" s="68"/>
      <c r="D33" s="66"/>
      <c r="E33" s="68"/>
      <c r="F33" s="69"/>
      <c r="G33" s="67" t="s">
        <v>8</v>
      </c>
      <c r="H33" s="69"/>
      <c r="I33" s="67" t="s">
        <v>249</v>
      </c>
      <c r="J33" s="68">
        <f t="shared" si="8"/>
        <v>0</v>
      </c>
      <c r="K33" s="115">
        <v>0.0</v>
      </c>
      <c r="L33" s="68">
        <f t="shared" si="9"/>
        <v>0</v>
      </c>
      <c r="M33" s="76">
        <v>45863.0</v>
      </c>
      <c r="N33" s="67">
        <v>8520.0</v>
      </c>
      <c r="O33" s="67" t="s">
        <v>140</v>
      </c>
      <c r="P33" s="69"/>
      <c r="Q33" s="76">
        <v>45870.0</v>
      </c>
      <c r="R33" s="67">
        <v>8535.0</v>
      </c>
      <c r="S33" s="76"/>
      <c r="T33" s="69"/>
      <c r="U33" s="76"/>
      <c r="V33" s="69"/>
    </row>
    <row r="34">
      <c r="W34" s="17"/>
      <c r="X34" s="17"/>
      <c r="Y34" s="17"/>
      <c r="Z34" s="17"/>
      <c r="AA34" s="17"/>
      <c r="AB34" s="17"/>
    </row>
    <row r="35">
      <c r="A35" s="12" t="s">
        <v>197</v>
      </c>
      <c r="B35" s="17"/>
      <c r="C35" s="63">
        <f>SUM(C3:C33)</f>
        <v>9980</v>
      </c>
      <c r="D35" s="17"/>
      <c r="E35" s="63">
        <f>SUM(E3:E33)</f>
        <v>775</v>
      </c>
      <c r="F35" s="17"/>
      <c r="G35" s="17">
        <f t="array" ref="G35">COUNTIF(G3:G33,"y")</f>
        <v>24</v>
      </c>
      <c r="H35" s="17"/>
      <c r="I35" s="17"/>
      <c r="J35" s="63">
        <f t="shared" ref="J35:L35" si="10">SUM(J3:J33)</f>
        <v>10755</v>
      </c>
      <c r="K35" s="63">
        <f t="shared" si="10"/>
        <v>4560</v>
      </c>
      <c r="L35" s="63">
        <f t="shared" si="10"/>
        <v>6195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7">
      <c r="W37" s="19"/>
      <c r="X37" s="19"/>
      <c r="Y37" s="19"/>
      <c r="Z37" s="19"/>
      <c r="AA37" s="19"/>
      <c r="AB37" s="19"/>
    </row>
    <row r="38">
      <c r="A38" s="18" t="s">
        <v>34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21"/>
      <c r="X38" s="21"/>
      <c r="Y38" s="21"/>
      <c r="Z38" s="21"/>
      <c r="AA38" s="21"/>
      <c r="AB38" s="21"/>
    </row>
    <row r="39">
      <c r="A39" s="20" t="s">
        <v>198</v>
      </c>
      <c r="B39" s="20" t="s">
        <v>121</v>
      </c>
      <c r="C39" s="21"/>
      <c r="D39" s="20" t="s">
        <v>199</v>
      </c>
      <c r="E39" s="20">
        <v>1.0</v>
      </c>
      <c r="F39" s="20">
        <v>2.0</v>
      </c>
      <c r="G39" s="20">
        <v>3.0</v>
      </c>
      <c r="H39" s="20">
        <v>4.0</v>
      </c>
      <c r="I39" s="20"/>
      <c r="J39" s="20">
        <v>5.0</v>
      </c>
      <c r="K39" s="20">
        <v>6.0</v>
      </c>
      <c r="L39" s="20">
        <v>7.0</v>
      </c>
      <c r="M39" s="20">
        <v>8.0</v>
      </c>
      <c r="N39" s="20">
        <v>9.0</v>
      </c>
      <c r="O39" s="22" t="s">
        <v>200</v>
      </c>
      <c r="P39" s="21"/>
      <c r="Q39" s="21"/>
      <c r="R39" s="21"/>
      <c r="S39" s="21"/>
      <c r="T39" s="21"/>
      <c r="U39" s="21"/>
      <c r="V39" s="21"/>
    </row>
    <row r="40">
      <c r="A40" s="7" t="s">
        <v>122</v>
      </c>
      <c r="B40" s="42">
        <f>O49</f>
        <v>4000</v>
      </c>
      <c r="D40" s="7" t="s">
        <v>61</v>
      </c>
      <c r="E40" s="7">
        <v>500.0</v>
      </c>
      <c r="F40" s="7">
        <v>500.0</v>
      </c>
      <c r="G40" s="7">
        <v>500.0</v>
      </c>
      <c r="H40" s="7">
        <v>500.0</v>
      </c>
      <c r="O40" s="17">
        <f t="shared" ref="O40:O41" si="11">SUM(E40:N40)</f>
        <v>2000</v>
      </c>
    </row>
    <row r="41">
      <c r="A41" s="7" t="s">
        <v>123</v>
      </c>
      <c r="B41" s="42">
        <v>0.0</v>
      </c>
      <c r="D41" s="7" t="s">
        <v>374</v>
      </c>
      <c r="E41" s="7">
        <v>200.0</v>
      </c>
      <c r="F41" s="7">
        <v>200.0</v>
      </c>
      <c r="G41" s="7">
        <v>200.0</v>
      </c>
      <c r="H41" s="7">
        <v>200.0</v>
      </c>
      <c r="O41" s="17">
        <f t="shared" si="11"/>
        <v>800</v>
      </c>
    </row>
    <row r="42">
      <c r="A42" s="7" t="s">
        <v>380</v>
      </c>
      <c r="B42" s="42">
        <v>119.43</v>
      </c>
      <c r="D42" s="7"/>
      <c r="E42" s="7"/>
      <c r="F42" s="7"/>
      <c r="G42" s="7"/>
      <c r="H42" s="7"/>
      <c r="O42" s="17"/>
    </row>
    <row r="43">
      <c r="A43" s="7" t="s">
        <v>124</v>
      </c>
      <c r="B43" s="42">
        <v>2029.19</v>
      </c>
      <c r="D43" s="7" t="s">
        <v>297</v>
      </c>
      <c r="E43" s="7">
        <v>300.0</v>
      </c>
      <c r="F43" s="7">
        <v>300.0</v>
      </c>
      <c r="G43" s="7">
        <v>300.0</v>
      </c>
      <c r="H43" s="7">
        <v>300.0</v>
      </c>
      <c r="O43" s="17">
        <f t="shared" ref="O43:O48" si="12">SUM(E43:N43)</f>
        <v>1200</v>
      </c>
    </row>
    <row r="44">
      <c r="A44" s="7" t="s">
        <v>125</v>
      </c>
      <c r="B44" s="42">
        <v>170.5</v>
      </c>
      <c r="O44" s="17">
        <f t="shared" si="12"/>
        <v>0</v>
      </c>
    </row>
    <row r="45">
      <c r="A45" s="7" t="s">
        <v>126</v>
      </c>
      <c r="B45" s="42">
        <v>364.44</v>
      </c>
      <c r="O45" s="17">
        <f t="shared" si="12"/>
        <v>0</v>
      </c>
    </row>
    <row r="46">
      <c r="A46" s="7" t="s">
        <v>128</v>
      </c>
      <c r="B46" s="42">
        <v>918.21</v>
      </c>
      <c r="O46" s="17">
        <f t="shared" si="12"/>
        <v>0</v>
      </c>
    </row>
    <row r="47">
      <c r="A47" s="7" t="s">
        <v>129</v>
      </c>
      <c r="B47" s="42">
        <v>1000.0</v>
      </c>
      <c r="D47" s="7"/>
      <c r="O47" s="17">
        <f t="shared" si="12"/>
        <v>0</v>
      </c>
    </row>
    <row r="48">
      <c r="A48" s="7" t="s">
        <v>207</v>
      </c>
      <c r="B48" s="42">
        <v>828.78</v>
      </c>
      <c r="D48" s="7"/>
      <c r="E48" s="7"/>
      <c r="F48" s="7"/>
      <c r="G48" s="7"/>
      <c r="H48" s="7"/>
      <c r="J48" s="7"/>
      <c r="K48" s="7"/>
      <c r="O48" s="17">
        <f t="shared" si="12"/>
        <v>0</v>
      </c>
    </row>
    <row r="49">
      <c r="A49" s="7" t="s">
        <v>381</v>
      </c>
      <c r="B49" s="43" t="str">
        <f>E80</f>
        <v/>
      </c>
      <c r="O49" s="17">
        <f>SUM(O40:O48)</f>
        <v>4000</v>
      </c>
    </row>
    <row r="50">
      <c r="B50" s="43"/>
      <c r="W50" s="17"/>
      <c r="X50" s="17"/>
      <c r="Y50" s="17"/>
      <c r="Z50" s="17"/>
      <c r="AA50" s="17"/>
      <c r="AB50" s="17"/>
    </row>
    <row r="51">
      <c r="A51" s="7" t="s">
        <v>200</v>
      </c>
      <c r="B51" s="43">
        <f>SUM(B40:B49)</f>
        <v>9430.55</v>
      </c>
    </row>
    <row r="52">
      <c r="A52" s="17"/>
      <c r="B52" s="17"/>
      <c r="C52" s="17"/>
      <c r="D52" s="22" t="s">
        <v>209</v>
      </c>
      <c r="E52" s="22" t="s">
        <v>121</v>
      </c>
      <c r="F52" s="22" t="s">
        <v>210</v>
      </c>
      <c r="G52" s="22" t="s">
        <v>211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</row>
    <row r="53">
      <c r="B53" s="7" t="s">
        <v>347</v>
      </c>
      <c r="C53" s="7" t="s">
        <v>348</v>
      </c>
    </row>
    <row r="54">
      <c r="A54" s="7" t="s">
        <v>214</v>
      </c>
      <c r="B54" s="42">
        <f t="shared" ref="B54:C54" si="13">J35</f>
        <v>10755</v>
      </c>
      <c r="C54" s="42">
        <f t="shared" si="13"/>
        <v>4560</v>
      </c>
      <c r="E54" s="42"/>
    </row>
    <row r="55">
      <c r="A55" s="7" t="s">
        <v>217</v>
      </c>
      <c r="B55" s="43">
        <f>B51</f>
        <v>9430.55</v>
      </c>
      <c r="C55" s="43">
        <f>B51</f>
        <v>9430.55</v>
      </c>
      <c r="E55" s="42"/>
    </row>
    <row r="56">
      <c r="E56" s="42"/>
    </row>
    <row r="57">
      <c r="A57" s="44" t="s">
        <v>221</v>
      </c>
      <c r="B57" s="74">
        <f>B54-B55</f>
        <v>1324.45</v>
      </c>
      <c r="C57" s="74">
        <f>SUM(C54-C55)</f>
        <v>-4870.55</v>
      </c>
      <c r="D57" s="75"/>
      <c r="E57" s="42"/>
    </row>
    <row r="58">
      <c r="E58" s="43"/>
    </row>
    <row r="59">
      <c r="A59" s="7" t="s">
        <v>361</v>
      </c>
      <c r="E59" s="43"/>
    </row>
    <row r="60">
      <c r="E60" s="43"/>
    </row>
    <row r="61">
      <c r="E61" s="43"/>
    </row>
    <row r="62">
      <c r="E62" s="43"/>
    </row>
    <row r="63">
      <c r="E63" s="42"/>
    </row>
    <row r="64">
      <c r="E64" s="42"/>
    </row>
    <row r="65">
      <c r="E65" s="42"/>
    </row>
    <row r="66">
      <c r="E66" s="43"/>
    </row>
    <row r="67">
      <c r="E67" s="43"/>
    </row>
    <row r="68">
      <c r="E68" s="43"/>
    </row>
    <row r="69">
      <c r="E69" s="43"/>
    </row>
    <row r="70">
      <c r="E70" s="43"/>
    </row>
    <row r="71">
      <c r="E71" s="43"/>
    </row>
    <row r="72">
      <c r="E72" s="43"/>
    </row>
    <row r="73">
      <c r="E73" s="43"/>
    </row>
    <row r="74">
      <c r="E74" s="43"/>
    </row>
    <row r="75">
      <c r="E75" s="43"/>
    </row>
    <row r="76">
      <c r="D76" s="7"/>
      <c r="E76" s="43"/>
    </row>
    <row r="77">
      <c r="D77" s="7"/>
      <c r="E77" s="43"/>
    </row>
    <row r="78">
      <c r="D78" s="7" t="s">
        <v>200</v>
      </c>
      <c r="E78" s="43">
        <f>SUM(E51:E74)</f>
        <v>0</v>
      </c>
    </row>
  </sheetData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3.25"/>
    <col customWidth="1" min="2" max="2" width="26.13"/>
    <col customWidth="1" min="4" max="4" width="19.25"/>
    <col customWidth="1" min="5" max="5" width="17.63"/>
    <col customWidth="1" min="6" max="6" width="5.38"/>
    <col customWidth="1" min="7" max="7" width="8.88"/>
    <col customWidth="1" min="8" max="8" width="19.5"/>
    <col customWidth="1" min="9" max="9" width="18.88"/>
    <col customWidth="1" min="12" max="12" width="17.75"/>
    <col customWidth="1" min="13" max="13" width="14.75"/>
    <col customWidth="1" min="14" max="14" width="15.5"/>
    <col customWidth="1" min="15" max="15" width="16.75"/>
    <col customWidth="1" min="18" max="18" width="19.38"/>
    <col customWidth="1" min="19" max="19" width="17.25"/>
  </cols>
  <sheetData>
    <row r="1">
      <c r="A1" s="44"/>
      <c r="B1" s="44" t="s">
        <v>37</v>
      </c>
      <c r="C1" s="44" t="s">
        <v>2</v>
      </c>
      <c r="D1" s="44" t="s">
        <v>38</v>
      </c>
      <c r="E1" s="44" t="s">
        <v>39</v>
      </c>
      <c r="F1" s="44" t="s">
        <v>40</v>
      </c>
      <c r="G1" s="44" t="s">
        <v>3</v>
      </c>
      <c r="H1" s="44" t="s">
        <v>7</v>
      </c>
      <c r="I1" s="44" t="s">
        <v>246</v>
      </c>
      <c r="J1" s="44" t="s">
        <v>41</v>
      </c>
      <c r="K1" s="44" t="s">
        <v>42</v>
      </c>
      <c r="L1" s="44" t="s">
        <v>43</v>
      </c>
      <c r="M1" s="44" t="s">
        <v>44</v>
      </c>
      <c r="N1" s="44"/>
      <c r="O1" s="44" t="s">
        <v>46</v>
      </c>
      <c r="P1" s="44" t="s">
        <v>47</v>
      </c>
      <c r="Q1" s="44" t="s">
        <v>44</v>
      </c>
      <c r="R1" s="12"/>
      <c r="S1" s="12"/>
      <c r="T1" s="13"/>
      <c r="U1" s="13"/>
      <c r="V1" s="13"/>
      <c r="W1" s="13"/>
      <c r="X1" s="13"/>
      <c r="Y1" s="13"/>
      <c r="Z1" s="13"/>
      <c r="AA1" s="13"/>
      <c r="AB1" s="13"/>
    </row>
    <row r="2">
      <c r="A2" s="44" t="s">
        <v>367</v>
      </c>
      <c r="B2" s="44" t="s">
        <v>37</v>
      </c>
      <c r="C2" s="44" t="s">
        <v>2</v>
      </c>
      <c r="D2" s="44" t="s">
        <v>38</v>
      </c>
      <c r="E2" s="44" t="s">
        <v>382</v>
      </c>
      <c r="F2" s="44" t="s">
        <v>40</v>
      </c>
      <c r="G2" s="44" t="s">
        <v>3</v>
      </c>
      <c r="H2" s="44" t="s">
        <v>7</v>
      </c>
      <c r="I2" s="44" t="s">
        <v>246</v>
      </c>
      <c r="J2" s="44" t="s">
        <v>41</v>
      </c>
      <c r="K2" s="44" t="s">
        <v>368</v>
      </c>
      <c r="L2" s="44" t="s">
        <v>43</v>
      </c>
      <c r="M2" s="44" t="s">
        <v>44</v>
      </c>
      <c r="N2" s="44" t="s">
        <v>45</v>
      </c>
      <c r="O2" s="44" t="s">
        <v>46</v>
      </c>
      <c r="P2" s="44" t="s">
        <v>47</v>
      </c>
      <c r="Q2" s="44" t="s">
        <v>247</v>
      </c>
      <c r="R2" s="12" t="s">
        <v>333</v>
      </c>
      <c r="S2" s="12" t="s">
        <v>334</v>
      </c>
      <c r="T2" s="12" t="s">
        <v>335</v>
      </c>
      <c r="U2" s="12" t="s">
        <v>336</v>
      </c>
      <c r="V2" s="12" t="s">
        <v>337</v>
      </c>
    </row>
    <row r="3">
      <c r="A3" s="116">
        <v>100.0</v>
      </c>
      <c r="B3" s="117" t="s">
        <v>9</v>
      </c>
      <c r="C3" s="118">
        <v>700.0</v>
      </c>
      <c r="D3" s="116"/>
      <c r="E3" s="118"/>
      <c r="F3" s="119"/>
      <c r="G3" s="117" t="s">
        <v>8</v>
      </c>
      <c r="H3" s="119"/>
      <c r="I3" s="117" t="s">
        <v>266</v>
      </c>
      <c r="J3" s="118">
        <f>Sum(C3+E3)</f>
        <v>700</v>
      </c>
      <c r="K3" s="118"/>
      <c r="L3" s="118">
        <f t="shared" ref="L3:L11" si="1">SUM(J3-K3)</f>
        <v>700</v>
      </c>
      <c r="M3" s="120">
        <v>45870.0</v>
      </c>
      <c r="N3" s="117">
        <v>8534.0</v>
      </c>
      <c r="O3" s="117" t="s">
        <v>341</v>
      </c>
      <c r="P3" s="119"/>
      <c r="Q3" s="120">
        <v>45855.0</v>
      </c>
      <c r="R3" s="117">
        <v>8510.0</v>
      </c>
      <c r="S3" s="120"/>
      <c r="T3" s="119"/>
      <c r="U3" s="120"/>
      <c r="V3" s="119"/>
      <c r="W3" s="119"/>
      <c r="X3" s="119"/>
      <c r="Y3" s="119"/>
      <c r="Z3" s="119"/>
      <c r="AA3" s="119"/>
      <c r="AB3" s="119"/>
    </row>
    <row r="4">
      <c r="A4" s="116">
        <v>101.0</v>
      </c>
      <c r="B4" s="117" t="s">
        <v>10</v>
      </c>
      <c r="C4" s="118">
        <v>700.0</v>
      </c>
      <c r="D4" s="116"/>
      <c r="E4" s="121"/>
      <c r="F4" s="119"/>
      <c r="G4" s="117" t="s">
        <v>8</v>
      </c>
      <c r="H4" s="119"/>
      <c r="I4" s="117" t="s">
        <v>253</v>
      </c>
      <c r="J4" s="118">
        <f t="shared" ref="J4:J5" si="2">sum(C4+E4)</f>
        <v>700</v>
      </c>
      <c r="K4" s="118">
        <v>1400.0</v>
      </c>
      <c r="L4" s="118">
        <f t="shared" si="1"/>
        <v>-700</v>
      </c>
      <c r="M4" s="117" t="s">
        <v>383</v>
      </c>
      <c r="N4" s="117" t="s">
        <v>384</v>
      </c>
      <c r="O4" s="117" t="s">
        <v>140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</row>
    <row r="5">
      <c r="A5" s="116">
        <v>102.0</v>
      </c>
      <c r="B5" s="117" t="s">
        <v>385</v>
      </c>
      <c r="C5" s="118">
        <v>700.0</v>
      </c>
      <c r="D5" s="116"/>
      <c r="E5" s="118"/>
      <c r="F5" s="119"/>
      <c r="G5" s="117" t="s">
        <v>8</v>
      </c>
      <c r="H5" s="117" t="s">
        <v>377</v>
      </c>
      <c r="I5" s="117" t="s">
        <v>253</v>
      </c>
      <c r="J5" s="118">
        <f t="shared" si="2"/>
        <v>700</v>
      </c>
      <c r="K5" s="118">
        <v>450.0</v>
      </c>
      <c r="L5" s="118">
        <f t="shared" si="1"/>
        <v>250</v>
      </c>
      <c r="M5" s="120">
        <v>46025.0</v>
      </c>
      <c r="N5" s="117" t="s">
        <v>386</v>
      </c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</row>
    <row r="6">
      <c r="A6" s="60">
        <v>103.0</v>
      </c>
      <c r="B6" s="14" t="s">
        <v>13</v>
      </c>
      <c r="C6" s="61">
        <v>700.0</v>
      </c>
      <c r="D6" s="60"/>
      <c r="E6" s="95"/>
      <c r="F6" s="15"/>
      <c r="G6" s="14" t="s">
        <v>8</v>
      </c>
      <c r="H6" s="15"/>
      <c r="I6" s="14" t="s">
        <v>253</v>
      </c>
      <c r="J6" s="61">
        <f>Sum(C6+E6)</f>
        <v>700</v>
      </c>
      <c r="K6" s="61">
        <v>0.0</v>
      </c>
      <c r="L6" s="61">
        <f t="shared" si="1"/>
        <v>700</v>
      </c>
      <c r="M6" s="64"/>
      <c r="N6" s="15"/>
      <c r="O6" s="15"/>
      <c r="P6" s="15"/>
      <c r="Q6" s="64"/>
      <c r="R6" s="15"/>
      <c r="S6" s="64"/>
      <c r="T6" s="15"/>
      <c r="U6" s="15"/>
      <c r="V6" s="15"/>
      <c r="W6" s="15"/>
      <c r="X6" s="15"/>
      <c r="Y6" s="15"/>
      <c r="Z6" s="15"/>
      <c r="AA6" s="15"/>
      <c r="AB6" s="15"/>
    </row>
    <row r="7">
      <c r="A7" s="116">
        <v>104.0</v>
      </c>
      <c r="B7" s="117" t="s">
        <v>14</v>
      </c>
      <c r="C7" s="118">
        <v>700.0</v>
      </c>
      <c r="D7" s="116"/>
      <c r="E7" s="118"/>
      <c r="F7" s="117"/>
      <c r="G7" s="117" t="s">
        <v>8</v>
      </c>
      <c r="H7" s="119"/>
      <c r="I7" s="117" t="s">
        <v>253</v>
      </c>
      <c r="J7" s="118">
        <f t="shared" ref="J7:J26" si="3">sum(C7+E7)</f>
        <v>700</v>
      </c>
      <c r="K7" s="118">
        <v>700.0</v>
      </c>
      <c r="L7" s="118">
        <f t="shared" si="1"/>
        <v>0</v>
      </c>
      <c r="M7" s="117" t="s">
        <v>387</v>
      </c>
      <c r="N7" s="117" t="s">
        <v>388</v>
      </c>
      <c r="O7" s="117" t="s">
        <v>80</v>
      </c>
      <c r="P7" s="117"/>
      <c r="Q7" s="122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</row>
    <row r="8">
      <c r="A8" s="116">
        <v>105.0</v>
      </c>
      <c r="B8" s="117" t="s">
        <v>15</v>
      </c>
      <c r="C8" s="118">
        <v>700.0</v>
      </c>
      <c r="D8" s="116"/>
      <c r="E8" s="118"/>
      <c r="F8" s="119"/>
      <c r="G8" s="117" t="s">
        <v>8</v>
      </c>
      <c r="H8" s="117"/>
      <c r="I8" s="117" t="s">
        <v>249</v>
      </c>
      <c r="J8" s="118">
        <f t="shared" si="3"/>
        <v>700</v>
      </c>
      <c r="K8" s="118"/>
      <c r="L8" s="118">
        <f t="shared" si="1"/>
        <v>700</v>
      </c>
      <c r="M8" s="120"/>
      <c r="N8" s="119"/>
      <c r="O8" s="117" t="s">
        <v>140</v>
      </c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</row>
    <row r="9">
      <c r="A9" s="60">
        <v>106.0</v>
      </c>
      <c r="B9" s="14" t="s">
        <v>389</v>
      </c>
      <c r="C9" s="61">
        <v>700.0</v>
      </c>
      <c r="D9" s="15"/>
      <c r="E9" s="61"/>
      <c r="F9" s="15"/>
      <c r="G9" s="14" t="s">
        <v>8</v>
      </c>
      <c r="H9" s="15"/>
      <c r="I9" s="14" t="s">
        <v>249</v>
      </c>
      <c r="J9" s="61">
        <f t="shared" si="3"/>
        <v>700</v>
      </c>
      <c r="K9" s="61">
        <v>710.0</v>
      </c>
      <c r="L9" s="61">
        <f t="shared" si="1"/>
        <v>-10</v>
      </c>
      <c r="M9" s="14" t="s">
        <v>390</v>
      </c>
      <c r="N9" s="14" t="s">
        <v>391</v>
      </c>
      <c r="O9" s="15"/>
      <c r="P9" s="14" t="s">
        <v>364</v>
      </c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82">
        <v>107.0</v>
      </c>
      <c r="B10" s="85"/>
      <c r="C10" s="84"/>
      <c r="D10" s="85"/>
      <c r="E10" s="84"/>
      <c r="F10" s="85"/>
      <c r="G10" s="83" t="s">
        <v>11</v>
      </c>
      <c r="H10" s="85"/>
      <c r="I10" s="85"/>
      <c r="J10" s="96">
        <f t="shared" si="3"/>
        <v>0</v>
      </c>
      <c r="K10" s="96"/>
      <c r="L10" s="84">
        <f t="shared" si="1"/>
        <v>0</v>
      </c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</row>
    <row r="11">
      <c r="A11" s="82">
        <v>108.0</v>
      </c>
      <c r="B11" s="85"/>
      <c r="C11" s="84"/>
      <c r="D11" s="85"/>
      <c r="E11" s="84"/>
      <c r="F11" s="85"/>
      <c r="G11" s="83" t="s">
        <v>11</v>
      </c>
      <c r="H11" s="85"/>
      <c r="I11" s="85"/>
      <c r="J11" s="96">
        <f t="shared" si="3"/>
        <v>0</v>
      </c>
      <c r="K11" s="84"/>
      <c r="L11" s="84">
        <f t="shared" si="1"/>
        <v>0</v>
      </c>
      <c r="M11" s="93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</row>
    <row r="12">
      <c r="A12" s="116">
        <v>109.0</v>
      </c>
      <c r="B12" s="117" t="s">
        <v>392</v>
      </c>
      <c r="C12" s="118">
        <v>640.0</v>
      </c>
      <c r="D12" s="116"/>
      <c r="E12" s="121"/>
      <c r="F12" s="119"/>
      <c r="G12" s="117" t="s">
        <v>8</v>
      </c>
      <c r="H12" s="119"/>
      <c r="I12" s="117" t="s">
        <v>249</v>
      </c>
      <c r="J12" s="118">
        <f t="shared" si="3"/>
        <v>640</v>
      </c>
      <c r="K12" s="118">
        <v>900.0</v>
      </c>
      <c r="L12" s="118">
        <f>sum(J12-K12)</f>
        <v>-260</v>
      </c>
      <c r="M12" s="117" t="s">
        <v>393</v>
      </c>
      <c r="N12" s="117" t="s">
        <v>394</v>
      </c>
      <c r="O12" s="119"/>
      <c r="P12" s="119"/>
      <c r="Q12" s="120">
        <v>45870.0</v>
      </c>
      <c r="R12" s="117">
        <v>8527.0</v>
      </c>
      <c r="S12" s="120">
        <v>45876.0</v>
      </c>
      <c r="T12" s="117">
        <v>8542.0</v>
      </c>
      <c r="U12" s="120"/>
      <c r="V12" s="117">
        <v>8512.0</v>
      </c>
      <c r="W12" s="119"/>
      <c r="X12" s="119"/>
      <c r="Y12" s="119"/>
      <c r="Z12" s="119"/>
      <c r="AA12" s="119"/>
      <c r="AB12" s="119"/>
    </row>
    <row r="13">
      <c r="A13" s="82">
        <v>110.0</v>
      </c>
      <c r="B13" s="85"/>
      <c r="C13" s="84"/>
      <c r="D13" s="83"/>
      <c r="E13" s="84"/>
      <c r="F13" s="85"/>
      <c r="G13" s="83" t="s">
        <v>8</v>
      </c>
      <c r="H13" s="85"/>
      <c r="I13" s="83" t="s">
        <v>249</v>
      </c>
      <c r="J13" s="84">
        <f t="shared" si="3"/>
        <v>0</v>
      </c>
      <c r="K13" s="84"/>
      <c r="L13" s="84">
        <f t="shared" ref="L13:L14" si="4">SUM(J13-K13)</f>
        <v>0</v>
      </c>
      <c r="M13" s="86">
        <v>45870.0</v>
      </c>
      <c r="N13" s="83">
        <v>8537.0</v>
      </c>
      <c r="O13" s="83" t="s">
        <v>140</v>
      </c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</row>
    <row r="14">
      <c r="A14" s="116">
        <v>111.0</v>
      </c>
      <c r="B14" s="117" t="s">
        <v>19</v>
      </c>
      <c r="C14" s="118">
        <v>640.0</v>
      </c>
      <c r="D14" s="116"/>
      <c r="E14" s="121"/>
      <c r="F14" s="119"/>
      <c r="G14" s="117" t="s">
        <v>8</v>
      </c>
      <c r="H14" s="119"/>
      <c r="I14" s="117" t="s">
        <v>253</v>
      </c>
      <c r="J14" s="118">
        <f t="shared" si="3"/>
        <v>640</v>
      </c>
      <c r="K14" s="118">
        <v>610.0</v>
      </c>
      <c r="L14" s="118">
        <f t="shared" si="4"/>
        <v>30</v>
      </c>
      <c r="M14" s="117" t="s">
        <v>395</v>
      </c>
      <c r="N14" s="117" t="s">
        <v>396</v>
      </c>
      <c r="O14" s="117" t="s">
        <v>140</v>
      </c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</row>
    <row r="15">
      <c r="A15" s="123">
        <v>112.0</v>
      </c>
      <c r="B15" s="124" t="s">
        <v>397</v>
      </c>
      <c r="C15" s="125">
        <v>600.0</v>
      </c>
      <c r="D15" s="123"/>
      <c r="E15" s="125"/>
      <c r="F15" s="126"/>
      <c r="G15" s="124" t="s">
        <v>8</v>
      </c>
      <c r="H15" s="126"/>
      <c r="I15" s="124" t="s">
        <v>249</v>
      </c>
      <c r="J15" s="125">
        <f t="shared" si="3"/>
        <v>600</v>
      </c>
      <c r="K15" s="125">
        <v>480.0</v>
      </c>
      <c r="L15" s="125">
        <f t="shared" ref="L15:L17" si="5">sum(J15-K15)</f>
        <v>120</v>
      </c>
      <c r="M15" s="124" t="s">
        <v>398</v>
      </c>
      <c r="N15" s="124" t="s">
        <v>399</v>
      </c>
      <c r="O15" s="124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</row>
    <row r="16">
      <c r="A16" s="116">
        <v>113.0</v>
      </c>
      <c r="B16" s="117" t="s">
        <v>21</v>
      </c>
      <c r="C16" s="118">
        <v>640.0</v>
      </c>
      <c r="D16" s="116"/>
      <c r="E16" s="118">
        <v>-150.0</v>
      </c>
      <c r="F16" s="117" t="s">
        <v>378</v>
      </c>
      <c r="G16" s="117" t="s">
        <v>8</v>
      </c>
      <c r="H16" s="119"/>
      <c r="I16" s="117" t="s">
        <v>253</v>
      </c>
      <c r="J16" s="118">
        <f t="shared" si="3"/>
        <v>490</v>
      </c>
      <c r="K16" s="118">
        <v>450.0</v>
      </c>
      <c r="L16" s="118">
        <f t="shared" si="5"/>
        <v>40</v>
      </c>
      <c r="M16" s="117" t="s">
        <v>400</v>
      </c>
      <c r="N16" s="117" t="s">
        <v>401</v>
      </c>
      <c r="O16" s="117" t="s">
        <v>69</v>
      </c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</row>
    <row r="17">
      <c r="A17" s="82">
        <v>114.0</v>
      </c>
      <c r="B17" s="85"/>
      <c r="C17" s="84"/>
      <c r="D17" s="82"/>
      <c r="E17" s="84"/>
      <c r="F17" s="85"/>
      <c r="G17" s="83" t="s">
        <v>11</v>
      </c>
      <c r="H17" s="85"/>
      <c r="I17" s="83" t="s">
        <v>249</v>
      </c>
      <c r="J17" s="84">
        <f t="shared" si="3"/>
        <v>0</v>
      </c>
      <c r="K17" s="84"/>
      <c r="L17" s="84">
        <f t="shared" si="5"/>
        <v>0</v>
      </c>
      <c r="M17" s="93">
        <v>45863.0</v>
      </c>
      <c r="N17" s="83">
        <v>8524.0</v>
      </c>
      <c r="O17" s="83" t="s">
        <v>69</v>
      </c>
      <c r="P17" s="85"/>
      <c r="Q17" s="86">
        <v>45849.0</v>
      </c>
      <c r="R17" s="83">
        <v>8506.0</v>
      </c>
      <c r="S17" s="86"/>
      <c r="T17" s="85"/>
      <c r="U17" s="85"/>
      <c r="V17" s="85"/>
      <c r="W17" s="85"/>
      <c r="X17" s="85"/>
      <c r="Y17" s="85"/>
      <c r="Z17" s="85"/>
      <c r="AA17" s="85"/>
      <c r="AB17" s="85"/>
    </row>
    <row r="18">
      <c r="A18" s="82">
        <v>215.0</v>
      </c>
      <c r="B18" s="85"/>
      <c r="C18" s="84"/>
      <c r="D18" s="82"/>
      <c r="E18" s="84"/>
      <c r="F18" s="85"/>
      <c r="G18" s="83" t="s">
        <v>11</v>
      </c>
      <c r="H18" s="85"/>
      <c r="I18" s="83"/>
      <c r="J18" s="84">
        <f t="shared" si="3"/>
        <v>0</v>
      </c>
      <c r="K18" s="84"/>
      <c r="L18" s="84">
        <f>SUM(J18-K18)</f>
        <v>0</v>
      </c>
      <c r="M18" s="86"/>
      <c r="N18" s="83"/>
      <c r="O18" s="83"/>
      <c r="P18" s="85"/>
      <c r="Q18" s="86">
        <v>45849.0</v>
      </c>
      <c r="R18" s="83">
        <v>8504.0</v>
      </c>
      <c r="S18" s="85"/>
      <c r="T18" s="85"/>
      <c r="U18" s="85"/>
      <c r="V18" s="85"/>
      <c r="W18" s="85"/>
      <c r="X18" s="85"/>
      <c r="Y18" s="85"/>
      <c r="Z18" s="85"/>
      <c r="AA18" s="85"/>
      <c r="AB18" s="85"/>
    </row>
    <row r="19">
      <c r="A19" s="116">
        <v>216.0</v>
      </c>
      <c r="B19" s="117" t="s">
        <v>22</v>
      </c>
      <c r="C19" s="118">
        <v>640.0</v>
      </c>
      <c r="D19" s="116"/>
      <c r="E19" s="121"/>
      <c r="F19" s="119"/>
      <c r="G19" s="117" t="s">
        <v>8</v>
      </c>
      <c r="H19" s="119"/>
      <c r="I19" s="117" t="s">
        <v>249</v>
      </c>
      <c r="J19" s="118">
        <f t="shared" si="3"/>
        <v>640</v>
      </c>
      <c r="K19" s="118">
        <v>620.0</v>
      </c>
      <c r="L19" s="118">
        <f>sum(J19-K19)</f>
        <v>20</v>
      </c>
      <c r="M19" s="117" t="s">
        <v>402</v>
      </c>
      <c r="N19" s="117" t="s">
        <v>403</v>
      </c>
      <c r="O19" s="117" t="s">
        <v>140</v>
      </c>
      <c r="P19" s="119"/>
      <c r="Q19" s="120">
        <v>45870.0</v>
      </c>
      <c r="R19" s="117">
        <v>8531.0</v>
      </c>
      <c r="S19" s="120"/>
      <c r="T19" s="119"/>
      <c r="U19" s="120"/>
      <c r="V19" s="119"/>
      <c r="W19" s="119"/>
      <c r="X19" s="119"/>
      <c r="Y19" s="119"/>
      <c r="Z19" s="119"/>
      <c r="AA19" s="119"/>
      <c r="AB19" s="119"/>
    </row>
    <row r="20">
      <c r="A20" s="127">
        <v>217.0</v>
      </c>
      <c r="B20" s="117" t="s">
        <v>23</v>
      </c>
      <c r="C20" s="128">
        <v>700.0</v>
      </c>
      <c r="D20" s="127"/>
      <c r="E20" s="128"/>
      <c r="F20" s="129"/>
      <c r="G20" s="130" t="s">
        <v>8</v>
      </c>
      <c r="H20" s="129"/>
      <c r="I20" s="130"/>
      <c r="J20" s="128">
        <f t="shared" si="3"/>
        <v>700</v>
      </c>
      <c r="K20" s="128">
        <v>875.0</v>
      </c>
      <c r="L20" s="128">
        <f t="shared" ref="L20:L21" si="6">SUM(J20-K20)</f>
        <v>-175</v>
      </c>
      <c r="M20" s="130" t="s">
        <v>404</v>
      </c>
      <c r="N20" s="130" t="s">
        <v>405</v>
      </c>
      <c r="O20" s="130" t="s">
        <v>140</v>
      </c>
      <c r="P20" s="129"/>
      <c r="Q20" s="129"/>
      <c r="R20" s="129"/>
      <c r="S20" s="129"/>
      <c r="T20" s="129"/>
      <c r="U20" s="129"/>
      <c r="V20" s="129"/>
      <c r="W20" s="119"/>
      <c r="X20" s="119"/>
      <c r="Y20" s="119"/>
      <c r="Z20" s="119"/>
      <c r="AA20" s="119"/>
      <c r="AB20" s="119"/>
    </row>
    <row r="21">
      <c r="A21" s="82">
        <v>218.0</v>
      </c>
      <c r="B21" s="85"/>
      <c r="C21" s="84"/>
      <c r="D21" s="82"/>
      <c r="E21" s="84"/>
      <c r="F21" s="83"/>
      <c r="G21" s="83" t="s">
        <v>11</v>
      </c>
      <c r="H21" s="83"/>
      <c r="I21" s="83"/>
      <c r="J21" s="84">
        <f t="shared" si="3"/>
        <v>0</v>
      </c>
      <c r="K21" s="84"/>
      <c r="L21" s="84">
        <f t="shared" si="6"/>
        <v>0</v>
      </c>
      <c r="M21" s="93"/>
      <c r="N21" s="85"/>
      <c r="O21" s="85"/>
      <c r="P21" s="83"/>
      <c r="Q21" s="94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</row>
    <row r="22">
      <c r="A22" s="82">
        <v>219.0</v>
      </c>
      <c r="B22" s="85"/>
      <c r="C22" s="84"/>
      <c r="D22" s="82"/>
      <c r="E22" s="84"/>
      <c r="F22" s="85"/>
      <c r="G22" s="83" t="s">
        <v>11</v>
      </c>
      <c r="H22" s="85"/>
      <c r="I22" s="83" t="s">
        <v>266</v>
      </c>
      <c r="J22" s="84">
        <f t="shared" si="3"/>
        <v>0</v>
      </c>
      <c r="K22" s="84"/>
      <c r="L22" s="84">
        <f>sum(J22-K22)</f>
        <v>0</v>
      </c>
      <c r="M22" s="86">
        <v>45863.0</v>
      </c>
      <c r="N22" s="83">
        <v>8519.0</v>
      </c>
      <c r="O22" s="83" t="s">
        <v>80</v>
      </c>
      <c r="P22" s="85"/>
      <c r="Q22" s="86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</row>
    <row r="23">
      <c r="A23" s="116">
        <v>220.0</v>
      </c>
      <c r="B23" s="117" t="s">
        <v>24</v>
      </c>
      <c r="C23" s="118">
        <v>700.0</v>
      </c>
      <c r="D23" s="116"/>
      <c r="E23" s="118"/>
      <c r="F23" s="119"/>
      <c r="G23" s="117" t="s">
        <v>8</v>
      </c>
      <c r="H23" s="119"/>
      <c r="I23" s="117" t="s">
        <v>249</v>
      </c>
      <c r="J23" s="118">
        <f t="shared" si="3"/>
        <v>700</v>
      </c>
      <c r="K23" s="118">
        <v>325.0</v>
      </c>
      <c r="L23" s="118">
        <f t="shared" ref="L23:L27" si="7">SUM(J23-K23)</f>
        <v>375</v>
      </c>
      <c r="M23" s="117" t="s">
        <v>406</v>
      </c>
      <c r="N23" s="117" t="s">
        <v>407</v>
      </c>
      <c r="O23" s="117" t="s">
        <v>140</v>
      </c>
      <c r="P23" s="119"/>
      <c r="Q23" s="120">
        <v>45877.0</v>
      </c>
      <c r="R23" s="117">
        <v>8547.0</v>
      </c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>
      <c r="A24" s="116">
        <v>221.0</v>
      </c>
      <c r="B24" s="117" t="s">
        <v>408</v>
      </c>
      <c r="C24" s="118">
        <v>700.0</v>
      </c>
      <c r="D24" s="116"/>
      <c r="E24" s="118"/>
      <c r="F24" s="119"/>
      <c r="G24" s="117" t="s">
        <v>8</v>
      </c>
      <c r="H24" s="119"/>
      <c r="I24" s="117" t="s">
        <v>253</v>
      </c>
      <c r="J24" s="118">
        <f t="shared" si="3"/>
        <v>700</v>
      </c>
      <c r="K24" s="118">
        <v>1000.0</v>
      </c>
      <c r="L24" s="118">
        <f t="shared" si="7"/>
        <v>-300</v>
      </c>
      <c r="M24" s="117" t="s">
        <v>409</v>
      </c>
      <c r="N24" s="117" t="s">
        <v>410</v>
      </c>
      <c r="O24" s="117" t="s">
        <v>140</v>
      </c>
      <c r="P24" s="119"/>
      <c r="Q24" s="120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>
      <c r="A25" s="116">
        <v>222.0</v>
      </c>
      <c r="B25" s="117" t="s">
        <v>411</v>
      </c>
      <c r="C25" s="118">
        <v>700.0</v>
      </c>
      <c r="D25" s="119"/>
      <c r="E25" s="118"/>
      <c r="F25" s="119"/>
      <c r="G25" s="117" t="s">
        <v>8</v>
      </c>
      <c r="H25" s="119"/>
      <c r="I25" s="117"/>
      <c r="J25" s="118">
        <f t="shared" si="3"/>
        <v>700</v>
      </c>
      <c r="K25" s="118">
        <v>300.0</v>
      </c>
      <c r="L25" s="118">
        <f t="shared" si="7"/>
        <v>400</v>
      </c>
      <c r="M25" s="131">
        <v>46031.0</v>
      </c>
      <c r="N25" s="117" t="s">
        <v>412</v>
      </c>
      <c r="O25" s="119"/>
      <c r="P25" s="119"/>
      <c r="Q25" s="120"/>
      <c r="R25" s="119"/>
      <c r="S25" s="120"/>
      <c r="T25" s="119"/>
      <c r="U25" s="119"/>
      <c r="V25" s="119"/>
      <c r="W25" s="119"/>
      <c r="X25" s="119"/>
      <c r="Y25" s="119"/>
      <c r="Z25" s="119"/>
      <c r="AA25" s="119"/>
      <c r="AB25" s="119"/>
    </row>
    <row r="26">
      <c r="A26" s="82">
        <v>223.0</v>
      </c>
      <c r="B26" s="85"/>
      <c r="C26" s="84"/>
      <c r="D26" s="85"/>
      <c r="E26" s="84"/>
      <c r="F26" s="85"/>
      <c r="G26" s="83" t="s">
        <v>11</v>
      </c>
      <c r="H26" s="85"/>
      <c r="I26" s="85"/>
      <c r="J26" s="96">
        <f t="shared" si="3"/>
        <v>0</v>
      </c>
      <c r="K26" s="96"/>
      <c r="L26" s="84">
        <f t="shared" si="7"/>
        <v>0</v>
      </c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</row>
    <row r="27">
      <c r="A27" s="82">
        <v>224.0</v>
      </c>
      <c r="B27" s="85"/>
      <c r="C27" s="84"/>
      <c r="D27" s="85"/>
      <c r="E27" s="84"/>
      <c r="F27" s="85"/>
      <c r="G27" s="83" t="s">
        <v>11</v>
      </c>
      <c r="H27" s="85"/>
      <c r="I27" s="103"/>
      <c r="J27" s="96">
        <f>Sum(C27+E27)</f>
        <v>0</v>
      </c>
      <c r="K27" s="96"/>
      <c r="L27" s="84">
        <f t="shared" si="7"/>
        <v>0</v>
      </c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</row>
    <row r="28">
      <c r="A28" s="82">
        <v>225.0</v>
      </c>
      <c r="B28" s="83" t="s">
        <v>70</v>
      </c>
      <c r="C28" s="84"/>
      <c r="D28" s="82"/>
      <c r="E28" s="84"/>
      <c r="F28" s="85"/>
      <c r="G28" s="83" t="s">
        <v>11</v>
      </c>
      <c r="H28" s="85"/>
      <c r="I28" s="83" t="s">
        <v>249</v>
      </c>
      <c r="J28" s="84">
        <f t="shared" ref="J28:J33" si="8">sum(C28+E28)</f>
        <v>0</v>
      </c>
      <c r="K28" s="113">
        <v>320.0</v>
      </c>
      <c r="L28" s="84">
        <f>sum(J28-K28)</f>
        <v>-320</v>
      </c>
      <c r="M28" s="83" t="s">
        <v>413</v>
      </c>
      <c r="N28" s="83" t="s">
        <v>414</v>
      </c>
      <c r="O28" s="83" t="s">
        <v>80</v>
      </c>
      <c r="P28" s="85"/>
      <c r="Q28" s="86">
        <v>45869.0</v>
      </c>
      <c r="R28" s="83">
        <v>8528.0</v>
      </c>
      <c r="S28" s="114">
        <v>45875.0</v>
      </c>
      <c r="T28" s="83">
        <v>8541.0</v>
      </c>
      <c r="U28" s="83" t="s">
        <v>366</v>
      </c>
      <c r="V28" s="85"/>
      <c r="W28" s="85"/>
      <c r="X28" s="85"/>
      <c r="Y28" s="85"/>
      <c r="Z28" s="85"/>
      <c r="AA28" s="85"/>
      <c r="AB28" s="85"/>
    </row>
    <row r="29">
      <c r="A29" s="116">
        <v>226.0</v>
      </c>
      <c r="B29" s="117" t="s">
        <v>27</v>
      </c>
      <c r="C29" s="118">
        <v>640.0</v>
      </c>
      <c r="D29" s="116"/>
      <c r="E29" s="118"/>
      <c r="F29" s="119"/>
      <c r="G29" s="117" t="s">
        <v>8</v>
      </c>
      <c r="H29" s="119"/>
      <c r="I29" s="117"/>
      <c r="J29" s="118">
        <f t="shared" si="8"/>
        <v>640</v>
      </c>
      <c r="K29" s="132">
        <v>900.0</v>
      </c>
      <c r="L29" s="118">
        <f t="shared" ref="L29:L33" si="9">SUM(J29-K29)</f>
        <v>-260</v>
      </c>
      <c r="M29" s="117" t="s">
        <v>415</v>
      </c>
      <c r="N29" s="117" t="s">
        <v>416</v>
      </c>
      <c r="O29" s="117" t="s">
        <v>140</v>
      </c>
      <c r="P29" s="119"/>
      <c r="Q29" s="120"/>
      <c r="R29" s="117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>
      <c r="A30" s="116">
        <v>227.0</v>
      </c>
      <c r="B30" s="117" t="s">
        <v>28</v>
      </c>
      <c r="C30" s="118">
        <v>640.0</v>
      </c>
      <c r="D30" s="116"/>
      <c r="E30" s="121"/>
      <c r="F30" s="119"/>
      <c r="G30" s="117" t="s">
        <v>8</v>
      </c>
      <c r="H30" s="119"/>
      <c r="I30" s="117" t="s">
        <v>253</v>
      </c>
      <c r="J30" s="118">
        <f t="shared" si="8"/>
        <v>640</v>
      </c>
      <c r="K30" s="132">
        <v>600.0</v>
      </c>
      <c r="L30" s="118">
        <f t="shared" si="9"/>
        <v>40</v>
      </c>
      <c r="M30" s="117" t="s">
        <v>417</v>
      </c>
      <c r="N30" s="117" t="s">
        <v>418</v>
      </c>
      <c r="O30" s="117" t="s">
        <v>140</v>
      </c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>
      <c r="A31" s="116">
        <v>228.0</v>
      </c>
      <c r="B31" s="117" t="s">
        <v>29</v>
      </c>
      <c r="C31" s="118">
        <v>640.0</v>
      </c>
      <c r="D31" s="116"/>
      <c r="E31" s="118"/>
      <c r="F31" s="119"/>
      <c r="G31" s="117" t="s">
        <v>8</v>
      </c>
      <c r="H31" s="119"/>
      <c r="I31" s="117" t="s">
        <v>266</v>
      </c>
      <c r="J31" s="118">
        <f t="shared" si="8"/>
        <v>640</v>
      </c>
      <c r="K31" s="133">
        <v>300.0</v>
      </c>
      <c r="L31" s="118">
        <f t="shared" si="9"/>
        <v>340</v>
      </c>
      <c r="M31" s="120">
        <v>45863.0</v>
      </c>
      <c r="N31" s="117">
        <v>8523.0</v>
      </c>
      <c r="O31" s="117" t="s">
        <v>341</v>
      </c>
      <c r="P31" s="119"/>
      <c r="Q31" s="120">
        <v>45877.0</v>
      </c>
      <c r="R31" s="117">
        <v>8545.0</v>
      </c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>
      <c r="A32" s="116">
        <v>229.0</v>
      </c>
      <c r="B32" s="117" t="s">
        <v>71</v>
      </c>
      <c r="C32" s="118">
        <v>640.0</v>
      </c>
      <c r="D32" s="116"/>
      <c r="E32" s="121"/>
      <c r="F32" s="119"/>
      <c r="G32" s="117" t="s">
        <v>8</v>
      </c>
      <c r="H32" s="119"/>
      <c r="I32" s="117" t="s">
        <v>266</v>
      </c>
      <c r="J32" s="118">
        <f t="shared" si="8"/>
        <v>640</v>
      </c>
      <c r="K32" s="132">
        <v>750.0</v>
      </c>
      <c r="L32" s="118">
        <f t="shared" si="9"/>
        <v>-110</v>
      </c>
      <c r="M32" s="117" t="s">
        <v>402</v>
      </c>
      <c r="N32" s="117" t="s">
        <v>419</v>
      </c>
      <c r="O32" s="117" t="s">
        <v>140</v>
      </c>
      <c r="P32" s="119"/>
      <c r="Q32" s="120">
        <v>45877.0</v>
      </c>
      <c r="R32" s="117">
        <v>8544.0</v>
      </c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>
      <c r="A33" s="116">
        <v>230.0</v>
      </c>
      <c r="B33" s="117" t="s">
        <v>420</v>
      </c>
      <c r="C33" s="118">
        <v>640.0</v>
      </c>
      <c r="D33" s="116"/>
      <c r="E33" s="118"/>
      <c r="F33" s="119"/>
      <c r="G33" s="117" t="s">
        <v>8</v>
      </c>
      <c r="H33" s="119"/>
      <c r="I33" s="117" t="s">
        <v>249</v>
      </c>
      <c r="J33" s="118">
        <f t="shared" si="8"/>
        <v>640</v>
      </c>
      <c r="K33" s="133">
        <v>320.0</v>
      </c>
      <c r="L33" s="118">
        <f t="shared" si="9"/>
        <v>320</v>
      </c>
      <c r="M33" s="117" t="s">
        <v>421</v>
      </c>
      <c r="N33" s="117" t="s">
        <v>422</v>
      </c>
      <c r="O33" s="117" t="s">
        <v>140</v>
      </c>
      <c r="P33" s="119"/>
      <c r="Q33" s="120">
        <v>45870.0</v>
      </c>
      <c r="R33" s="117">
        <v>8535.0</v>
      </c>
      <c r="S33" s="120"/>
      <c r="T33" s="119"/>
      <c r="U33" s="120"/>
      <c r="V33" s="119"/>
      <c r="W33" s="119"/>
      <c r="X33" s="119"/>
      <c r="Y33" s="119"/>
      <c r="Z33" s="119"/>
      <c r="AA33" s="119"/>
      <c r="AB33" s="119"/>
    </row>
    <row r="34">
      <c r="W34" s="17"/>
      <c r="X34" s="17"/>
      <c r="Y34" s="17"/>
      <c r="Z34" s="17"/>
      <c r="AA34" s="17"/>
      <c r="AB34" s="17"/>
    </row>
    <row r="35">
      <c r="A35" s="12" t="s">
        <v>197</v>
      </c>
      <c r="B35" s="17"/>
      <c r="C35" s="63">
        <f>SUM(C3:C33)</f>
        <v>14060</v>
      </c>
      <c r="D35" s="17"/>
      <c r="E35" s="63">
        <f>SUM(E3:E33)</f>
        <v>-150</v>
      </c>
      <c r="F35" s="17"/>
      <c r="G35" s="17">
        <f t="array" ref="G35">COUNTIF(G3:G33,"y")</f>
        <v>22</v>
      </c>
      <c r="H35" s="17"/>
      <c r="I35" s="17"/>
      <c r="J35" s="63">
        <f t="shared" ref="J35:L35" si="10">SUM(J3:J33)</f>
        <v>13910</v>
      </c>
      <c r="K35" s="63">
        <f t="shared" si="10"/>
        <v>12010</v>
      </c>
      <c r="L35" s="63">
        <f t="shared" si="10"/>
        <v>1900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7">
      <c r="W37" s="19"/>
      <c r="X37" s="19"/>
      <c r="Y37" s="19"/>
      <c r="Z37" s="19"/>
      <c r="AA37" s="19"/>
      <c r="AB37" s="19"/>
    </row>
    <row r="38">
      <c r="A38" s="18" t="s">
        <v>34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21"/>
      <c r="X38" s="21"/>
      <c r="Y38" s="21"/>
      <c r="Z38" s="21"/>
      <c r="AA38" s="21"/>
      <c r="AB38" s="21"/>
    </row>
    <row r="39">
      <c r="A39" s="20" t="s">
        <v>198</v>
      </c>
      <c r="B39" s="20" t="s">
        <v>121</v>
      </c>
      <c r="C39" s="21"/>
      <c r="D39" s="20" t="s">
        <v>199</v>
      </c>
      <c r="E39" s="20">
        <v>1.0</v>
      </c>
      <c r="F39" s="20">
        <v>2.0</v>
      </c>
      <c r="G39" s="20">
        <v>3.0</v>
      </c>
      <c r="H39" s="20">
        <v>4.0</v>
      </c>
      <c r="I39" s="20"/>
      <c r="J39" s="20">
        <v>5.0</v>
      </c>
      <c r="K39" s="20">
        <v>6.0</v>
      </c>
      <c r="L39" s="20">
        <v>7.0</v>
      </c>
      <c r="M39" s="20">
        <v>8.0</v>
      </c>
      <c r="N39" s="20">
        <v>9.0</v>
      </c>
      <c r="O39" s="22" t="s">
        <v>200</v>
      </c>
      <c r="P39" s="21"/>
      <c r="Q39" s="21"/>
      <c r="R39" s="21"/>
      <c r="S39" s="21"/>
      <c r="T39" s="21"/>
      <c r="U39" s="21"/>
      <c r="V39" s="21"/>
    </row>
    <row r="40">
      <c r="A40" s="7" t="s">
        <v>122</v>
      </c>
      <c r="B40" s="42">
        <f>O49</f>
        <v>4000</v>
      </c>
      <c r="D40" s="7" t="s">
        <v>61</v>
      </c>
      <c r="E40" s="7">
        <v>500.0</v>
      </c>
      <c r="F40" s="7">
        <v>500.0</v>
      </c>
      <c r="G40" s="7">
        <v>500.0</v>
      </c>
      <c r="H40" s="7">
        <v>500.0</v>
      </c>
      <c r="O40" s="17">
        <f t="shared" ref="O40:O41" si="11">SUM(E40:N40)</f>
        <v>2000</v>
      </c>
    </row>
    <row r="41">
      <c r="A41" s="7" t="s">
        <v>123</v>
      </c>
      <c r="B41" s="42">
        <v>0.0</v>
      </c>
      <c r="D41" s="7" t="s">
        <v>374</v>
      </c>
      <c r="E41" s="7">
        <v>200.0</v>
      </c>
      <c r="F41" s="7">
        <v>200.0</v>
      </c>
      <c r="G41" s="7">
        <v>200.0</v>
      </c>
      <c r="H41" s="7">
        <v>200.0</v>
      </c>
      <c r="O41" s="17">
        <f t="shared" si="11"/>
        <v>800</v>
      </c>
    </row>
    <row r="42">
      <c r="A42" s="7" t="s">
        <v>380</v>
      </c>
      <c r="B42" s="42">
        <v>119.43</v>
      </c>
      <c r="D42" s="7"/>
      <c r="E42" s="7"/>
      <c r="F42" s="7"/>
      <c r="G42" s="7"/>
      <c r="H42" s="7"/>
      <c r="O42" s="17"/>
    </row>
    <row r="43">
      <c r="A43" s="7" t="s">
        <v>124</v>
      </c>
      <c r="B43" s="42">
        <v>2029.19</v>
      </c>
      <c r="D43" s="7" t="s">
        <v>297</v>
      </c>
      <c r="E43" s="7">
        <v>300.0</v>
      </c>
      <c r="F43" s="7">
        <v>300.0</v>
      </c>
      <c r="G43" s="7">
        <v>300.0</v>
      </c>
      <c r="H43" s="7">
        <v>300.0</v>
      </c>
      <c r="O43" s="17">
        <f t="shared" ref="O43:O48" si="12">SUM(E43:N43)</f>
        <v>1200</v>
      </c>
    </row>
    <row r="44">
      <c r="A44" s="7" t="s">
        <v>125</v>
      </c>
      <c r="B44" s="42">
        <v>170.5</v>
      </c>
      <c r="O44" s="17">
        <f t="shared" si="12"/>
        <v>0</v>
      </c>
    </row>
    <row r="45">
      <c r="A45" s="7" t="s">
        <v>126</v>
      </c>
      <c r="B45" s="42">
        <v>364.44</v>
      </c>
      <c r="O45" s="17">
        <f t="shared" si="12"/>
        <v>0</v>
      </c>
    </row>
    <row r="46">
      <c r="A46" s="7" t="s">
        <v>128</v>
      </c>
      <c r="B46" s="42">
        <v>918.21</v>
      </c>
      <c r="O46" s="17">
        <f t="shared" si="12"/>
        <v>0</v>
      </c>
    </row>
    <row r="47">
      <c r="A47" s="7" t="s">
        <v>129</v>
      </c>
      <c r="B47" s="42">
        <v>1000.0</v>
      </c>
      <c r="D47" s="7"/>
      <c r="O47" s="17">
        <f t="shared" si="12"/>
        <v>0</v>
      </c>
    </row>
    <row r="48">
      <c r="A48" s="7" t="s">
        <v>207</v>
      </c>
      <c r="B48" s="42">
        <v>828.78</v>
      </c>
      <c r="D48" s="7"/>
      <c r="E48" s="7"/>
      <c r="F48" s="7"/>
      <c r="G48" s="7"/>
      <c r="H48" s="7"/>
      <c r="J48" s="7"/>
      <c r="K48" s="7"/>
      <c r="O48" s="17">
        <f t="shared" si="12"/>
        <v>0</v>
      </c>
    </row>
    <row r="49">
      <c r="A49" s="7" t="s">
        <v>381</v>
      </c>
      <c r="B49" s="43" t="str">
        <f>E80</f>
        <v/>
      </c>
      <c r="O49" s="17">
        <f>SUM(O40:O48)</f>
        <v>4000</v>
      </c>
    </row>
    <row r="50">
      <c r="B50" s="43"/>
      <c r="W50" s="17"/>
      <c r="X50" s="17"/>
      <c r="Y50" s="17"/>
      <c r="Z50" s="17"/>
      <c r="AA50" s="17"/>
      <c r="AB50" s="17"/>
    </row>
    <row r="51">
      <c r="A51" s="7" t="s">
        <v>200</v>
      </c>
      <c r="B51" s="43">
        <f>SUM(B40:B49)</f>
        <v>9430.55</v>
      </c>
    </row>
    <row r="52">
      <c r="A52" s="17"/>
      <c r="B52" s="17"/>
      <c r="C52" s="17"/>
      <c r="D52" s="22" t="s">
        <v>209</v>
      </c>
      <c r="E52" s="22" t="s">
        <v>121</v>
      </c>
      <c r="F52" s="22" t="s">
        <v>210</v>
      </c>
      <c r="G52" s="22" t="s">
        <v>211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</row>
    <row r="53">
      <c r="B53" s="7" t="s">
        <v>347</v>
      </c>
      <c r="C53" s="7" t="s">
        <v>348</v>
      </c>
    </row>
    <row r="54">
      <c r="A54" s="7" t="s">
        <v>214</v>
      </c>
      <c r="B54" s="42">
        <f t="shared" ref="B54:C54" si="13">J35</f>
        <v>13910</v>
      </c>
      <c r="C54" s="42">
        <f t="shared" si="13"/>
        <v>12010</v>
      </c>
      <c r="E54" s="42"/>
    </row>
    <row r="55">
      <c r="A55" s="7" t="s">
        <v>217</v>
      </c>
      <c r="B55" s="43">
        <f>B51</f>
        <v>9430.55</v>
      </c>
      <c r="C55" s="43">
        <f>B51</f>
        <v>9430.55</v>
      </c>
      <c r="E55" s="42"/>
    </row>
    <row r="56">
      <c r="E56" s="42"/>
    </row>
    <row r="57">
      <c r="A57" s="44" t="s">
        <v>221</v>
      </c>
      <c r="B57" s="74">
        <f>B54-B55</f>
        <v>4479.45</v>
      </c>
      <c r="C57" s="74">
        <f>SUM(C54-C55)</f>
        <v>2579.45</v>
      </c>
      <c r="D57" s="75"/>
      <c r="E57" s="42"/>
    </row>
    <row r="58">
      <c r="E58" s="43"/>
    </row>
    <row r="59">
      <c r="A59" s="7" t="s">
        <v>361</v>
      </c>
      <c r="E59" s="43"/>
    </row>
    <row r="60">
      <c r="E60" s="43"/>
    </row>
    <row r="61">
      <c r="E61" s="43"/>
    </row>
    <row r="62">
      <c r="E62" s="43"/>
    </row>
    <row r="63">
      <c r="E63" s="42"/>
    </row>
    <row r="64">
      <c r="E64" s="42"/>
    </row>
    <row r="65">
      <c r="E65" s="42"/>
    </row>
    <row r="66">
      <c r="E66" s="43"/>
    </row>
    <row r="67">
      <c r="E67" s="43"/>
    </row>
    <row r="68">
      <c r="E68" s="43"/>
    </row>
    <row r="69">
      <c r="E69" s="43"/>
    </row>
    <row r="70">
      <c r="E70" s="43"/>
    </row>
    <row r="71">
      <c r="E71" s="43"/>
    </row>
    <row r="72">
      <c r="E72" s="43"/>
    </row>
    <row r="73">
      <c r="E73" s="43"/>
    </row>
    <row r="74">
      <c r="E74" s="43"/>
    </row>
    <row r="75">
      <c r="E75" s="43"/>
    </row>
    <row r="76">
      <c r="D76" s="7"/>
      <c r="E76" s="43"/>
    </row>
    <row r="77">
      <c r="D77" s="7"/>
      <c r="E77" s="43"/>
    </row>
    <row r="78">
      <c r="D78" s="7" t="s">
        <v>200</v>
      </c>
      <c r="E78" s="43">
        <f>SUM(E51:E74)</f>
        <v>0</v>
      </c>
    </row>
  </sheetData>
  <conditionalFormatting sqref="B1">
    <cfRule type="notContainsBlanks" dxfId="9" priority="1">
      <formula>LEN(TRIM(B1))&gt;0</formula>
    </cfRule>
  </conditionalFormatting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3.25"/>
    <col customWidth="1" min="2" max="2" width="26.13"/>
    <col customWidth="1" min="4" max="4" width="19.25"/>
    <col customWidth="1" min="5" max="5" width="17.63"/>
    <col customWidth="1" min="6" max="6" width="5.38"/>
    <col customWidth="1" min="7" max="7" width="8.88"/>
    <col customWidth="1" min="8" max="8" width="19.5"/>
    <col customWidth="1" min="9" max="9" width="18.88"/>
    <col customWidth="1" min="12" max="12" width="17.75"/>
    <col customWidth="1" min="13" max="13" width="14.75"/>
    <col customWidth="1" min="14" max="14" width="15.5"/>
    <col customWidth="1" min="15" max="15" width="16.75"/>
    <col customWidth="1" min="18" max="18" width="19.38"/>
    <col customWidth="1" min="19" max="19" width="17.25"/>
  </cols>
  <sheetData>
    <row r="1">
      <c r="A1" s="44" t="s">
        <v>36</v>
      </c>
      <c r="B1" s="44" t="s">
        <v>37</v>
      </c>
      <c r="C1" s="44" t="s">
        <v>2</v>
      </c>
      <c r="D1" s="44" t="s">
        <v>38</v>
      </c>
      <c r="E1" s="44" t="s">
        <v>39</v>
      </c>
      <c r="F1" s="44" t="s">
        <v>40</v>
      </c>
      <c r="G1" s="44" t="s">
        <v>3</v>
      </c>
      <c r="H1" s="44" t="s">
        <v>7</v>
      </c>
      <c r="I1" s="44" t="s">
        <v>246</v>
      </c>
      <c r="J1" s="44" t="s">
        <v>41</v>
      </c>
      <c r="K1" s="44" t="s">
        <v>42</v>
      </c>
      <c r="L1" s="44" t="s">
        <v>43</v>
      </c>
      <c r="M1" s="44" t="s">
        <v>44</v>
      </c>
      <c r="N1" s="44"/>
      <c r="O1" s="44" t="s">
        <v>46</v>
      </c>
      <c r="P1" s="44" t="s">
        <v>47</v>
      </c>
      <c r="Q1" s="44" t="s">
        <v>44</v>
      </c>
      <c r="R1" s="12"/>
      <c r="S1" s="12"/>
      <c r="T1" s="13"/>
      <c r="U1" s="13"/>
      <c r="V1" s="13"/>
      <c r="W1" s="13"/>
      <c r="X1" s="13"/>
      <c r="Y1" s="13"/>
      <c r="Z1" s="13"/>
      <c r="AA1" s="13"/>
      <c r="AB1" s="13"/>
    </row>
    <row r="2">
      <c r="A2" s="44" t="s">
        <v>367</v>
      </c>
      <c r="B2" s="44" t="s">
        <v>37</v>
      </c>
      <c r="C2" s="44" t="s">
        <v>2</v>
      </c>
      <c r="D2" s="44" t="s">
        <v>38</v>
      </c>
      <c r="E2" s="44" t="s">
        <v>382</v>
      </c>
      <c r="F2" s="44" t="s">
        <v>40</v>
      </c>
      <c r="G2" s="44" t="s">
        <v>3</v>
      </c>
      <c r="H2" s="44" t="s">
        <v>7</v>
      </c>
      <c r="I2" s="44" t="s">
        <v>246</v>
      </c>
      <c r="J2" s="44" t="s">
        <v>41</v>
      </c>
      <c r="K2" s="44" t="s">
        <v>368</v>
      </c>
      <c r="L2" s="44" t="s">
        <v>43</v>
      </c>
      <c r="M2" s="44" t="s">
        <v>44</v>
      </c>
      <c r="N2" s="44" t="s">
        <v>45</v>
      </c>
      <c r="O2" s="44" t="s">
        <v>46</v>
      </c>
      <c r="P2" s="44" t="s">
        <v>47</v>
      </c>
      <c r="Q2" s="44" t="s">
        <v>247</v>
      </c>
      <c r="R2" s="12" t="s">
        <v>333</v>
      </c>
      <c r="S2" s="12" t="s">
        <v>334</v>
      </c>
      <c r="T2" s="12" t="s">
        <v>335</v>
      </c>
      <c r="U2" s="12" t="s">
        <v>336</v>
      </c>
      <c r="V2" s="12" t="s">
        <v>337</v>
      </c>
    </row>
    <row r="3">
      <c r="A3" s="116">
        <v>100.0</v>
      </c>
      <c r="B3" s="117" t="s">
        <v>9</v>
      </c>
      <c r="C3" s="118">
        <v>700.0</v>
      </c>
      <c r="D3" s="116"/>
      <c r="E3" s="118"/>
      <c r="F3" s="119"/>
      <c r="G3" s="117" t="s">
        <v>8</v>
      </c>
      <c r="H3" s="119"/>
      <c r="I3" s="117" t="s">
        <v>266</v>
      </c>
      <c r="J3" s="118">
        <f>Sum(C3+E3)</f>
        <v>700</v>
      </c>
      <c r="K3" s="118">
        <v>700.0</v>
      </c>
      <c r="L3" s="118">
        <f t="shared" ref="L3:L11" si="1">SUM(J3-K3)</f>
        <v>0</v>
      </c>
      <c r="M3" s="120">
        <v>45870.0</v>
      </c>
      <c r="N3" s="117">
        <v>8534.0</v>
      </c>
      <c r="O3" s="117" t="s">
        <v>423</v>
      </c>
      <c r="P3" s="119"/>
      <c r="Q3" s="120">
        <v>45855.0</v>
      </c>
      <c r="R3" s="117">
        <v>8510.0</v>
      </c>
      <c r="S3" s="120"/>
      <c r="T3" s="119"/>
      <c r="U3" s="120"/>
      <c r="V3" s="119"/>
      <c r="W3" s="119"/>
      <c r="X3" s="119"/>
      <c r="Y3" s="119"/>
      <c r="Z3" s="119"/>
      <c r="AA3" s="119"/>
      <c r="AB3" s="119"/>
    </row>
    <row r="4">
      <c r="A4" s="116">
        <v>101.0</v>
      </c>
      <c r="B4" s="117" t="s">
        <v>10</v>
      </c>
      <c r="C4" s="118">
        <v>700.0</v>
      </c>
      <c r="D4" s="116"/>
      <c r="E4" s="121"/>
      <c r="F4" s="119"/>
      <c r="G4" s="117" t="s">
        <v>8</v>
      </c>
      <c r="H4" s="119"/>
      <c r="I4" s="117" t="s">
        <v>253</v>
      </c>
      <c r="J4" s="118">
        <f t="shared" ref="J4:J5" si="2">sum(C4+E4)</f>
        <v>700</v>
      </c>
      <c r="K4" s="118">
        <v>700.0</v>
      </c>
      <c r="L4" s="118">
        <f t="shared" si="1"/>
        <v>0</v>
      </c>
      <c r="M4" s="134">
        <v>46073.0</v>
      </c>
      <c r="N4" s="117" t="s">
        <v>424</v>
      </c>
      <c r="O4" s="117" t="s">
        <v>140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</row>
    <row r="5">
      <c r="A5" s="82">
        <v>102.0</v>
      </c>
      <c r="B5" s="83" t="s">
        <v>425</v>
      </c>
      <c r="C5" s="84">
        <v>700.0</v>
      </c>
      <c r="D5" s="82"/>
      <c r="E5" s="84"/>
      <c r="F5" s="85"/>
      <c r="G5" s="83" t="s">
        <v>8</v>
      </c>
      <c r="H5" s="83"/>
      <c r="I5" s="83" t="s">
        <v>253</v>
      </c>
      <c r="J5" s="84">
        <f t="shared" si="2"/>
        <v>700</v>
      </c>
      <c r="K5" s="84">
        <v>170.0</v>
      </c>
      <c r="L5" s="84">
        <f t="shared" si="1"/>
        <v>530</v>
      </c>
      <c r="M5" s="83" t="s">
        <v>426</v>
      </c>
      <c r="N5" s="83" t="s">
        <v>427</v>
      </c>
      <c r="O5" s="83" t="s">
        <v>140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</row>
    <row r="6">
      <c r="A6" s="116">
        <v>103.0</v>
      </c>
      <c r="B6" s="117" t="s">
        <v>13</v>
      </c>
      <c r="C6" s="118">
        <v>700.0</v>
      </c>
      <c r="D6" s="116"/>
      <c r="E6" s="121"/>
      <c r="F6" s="119"/>
      <c r="G6" s="117" t="s">
        <v>8</v>
      </c>
      <c r="H6" s="119"/>
      <c r="I6" s="117" t="s">
        <v>253</v>
      </c>
      <c r="J6" s="118">
        <f>Sum(C6+E6)</f>
        <v>700</v>
      </c>
      <c r="K6" s="118">
        <v>600.0</v>
      </c>
      <c r="L6" s="118">
        <f t="shared" si="1"/>
        <v>100</v>
      </c>
      <c r="M6" s="117" t="s">
        <v>428</v>
      </c>
      <c r="N6" s="117" t="s">
        <v>429</v>
      </c>
      <c r="O6" s="117" t="s">
        <v>140</v>
      </c>
      <c r="P6" s="119"/>
      <c r="Q6" s="120"/>
      <c r="R6" s="119"/>
      <c r="S6" s="120"/>
      <c r="T6" s="119"/>
      <c r="U6" s="119"/>
      <c r="V6" s="119"/>
      <c r="W6" s="119"/>
      <c r="X6" s="119"/>
      <c r="Y6" s="119"/>
      <c r="Z6" s="119"/>
      <c r="AA6" s="119"/>
      <c r="AB6" s="119"/>
    </row>
    <row r="7">
      <c r="A7" s="116">
        <v>104.0</v>
      </c>
      <c r="B7" s="117" t="s">
        <v>14</v>
      </c>
      <c r="C7" s="118">
        <v>700.0</v>
      </c>
      <c r="D7" s="116"/>
      <c r="E7" s="118"/>
      <c r="F7" s="117"/>
      <c r="G7" s="117" t="s">
        <v>8</v>
      </c>
      <c r="H7" s="119"/>
      <c r="I7" s="117" t="s">
        <v>253</v>
      </c>
      <c r="J7" s="118">
        <f t="shared" ref="J7:J14" si="3">sum(C7+E7)</f>
        <v>700</v>
      </c>
      <c r="K7" s="118">
        <v>700.0</v>
      </c>
      <c r="L7" s="118">
        <f t="shared" si="1"/>
        <v>0</v>
      </c>
      <c r="M7" s="117" t="s">
        <v>430</v>
      </c>
      <c r="N7" s="117" t="s">
        <v>431</v>
      </c>
      <c r="O7" s="117" t="s">
        <v>341</v>
      </c>
      <c r="P7" s="117"/>
      <c r="Q7" s="122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</row>
    <row r="8">
      <c r="A8" s="116">
        <v>105.0</v>
      </c>
      <c r="B8" s="117" t="s">
        <v>15</v>
      </c>
      <c r="C8" s="118">
        <v>700.0</v>
      </c>
      <c r="D8" s="116"/>
      <c r="E8" s="118"/>
      <c r="F8" s="119"/>
      <c r="G8" s="117" t="s">
        <v>8</v>
      </c>
      <c r="H8" s="117"/>
      <c r="I8" s="117" t="s">
        <v>249</v>
      </c>
      <c r="J8" s="118">
        <f t="shared" si="3"/>
        <v>700</v>
      </c>
      <c r="K8" s="118">
        <v>700.0</v>
      </c>
      <c r="L8" s="118">
        <f t="shared" si="1"/>
        <v>0</v>
      </c>
      <c r="M8" s="120"/>
      <c r="N8" s="119"/>
      <c r="O8" s="117" t="s">
        <v>140</v>
      </c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</row>
    <row r="9">
      <c r="A9" s="60">
        <v>106.0</v>
      </c>
      <c r="B9" s="14" t="s">
        <v>432</v>
      </c>
      <c r="C9" s="61">
        <v>700.0</v>
      </c>
      <c r="D9" s="15"/>
      <c r="E9" s="61">
        <v>350.0</v>
      </c>
      <c r="F9" s="15"/>
      <c r="G9" s="14" t="s">
        <v>8</v>
      </c>
      <c r="H9" s="15"/>
      <c r="I9" s="14" t="s">
        <v>249</v>
      </c>
      <c r="J9" s="61">
        <f t="shared" si="3"/>
        <v>1050</v>
      </c>
      <c r="K9" s="61"/>
      <c r="L9" s="61">
        <f t="shared" si="1"/>
        <v>1050</v>
      </c>
      <c r="M9" s="15"/>
      <c r="N9" s="15"/>
      <c r="O9" s="14" t="s">
        <v>140</v>
      </c>
      <c r="P9" s="14" t="s">
        <v>364</v>
      </c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82">
        <v>107.0</v>
      </c>
      <c r="B10" s="85"/>
      <c r="C10" s="84"/>
      <c r="D10" s="85"/>
      <c r="E10" s="84"/>
      <c r="F10" s="85"/>
      <c r="G10" s="83" t="s">
        <v>11</v>
      </c>
      <c r="H10" s="85"/>
      <c r="I10" s="85"/>
      <c r="J10" s="96">
        <f t="shared" si="3"/>
        <v>0</v>
      </c>
      <c r="K10" s="96"/>
      <c r="L10" s="84">
        <f t="shared" si="1"/>
        <v>0</v>
      </c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</row>
    <row r="11">
      <c r="A11" s="82">
        <v>108.0</v>
      </c>
      <c r="B11" s="85"/>
      <c r="C11" s="84"/>
      <c r="D11" s="85"/>
      <c r="E11" s="84"/>
      <c r="F11" s="85"/>
      <c r="G11" s="83" t="s">
        <v>11</v>
      </c>
      <c r="H11" s="85"/>
      <c r="I11" s="85"/>
      <c r="J11" s="96">
        <f t="shared" si="3"/>
        <v>0</v>
      </c>
      <c r="K11" s="84"/>
      <c r="L11" s="84">
        <f t="shared" si="1"/>
        <v>0</v>
      </c>
      <c r="M11" s="93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</row>
    <row r="12">
      <c r="A12" s="116">
        <v>109.0</v>
      </c>
      <c r="B12" s="117" t="s">
        <v>392</v>
      </c>
      <c r="C12" s="118">
        <v>640.0</v>
      </c>
      <c r="D12" s="116"/>
      <c r="E12" s="121"/>
      <c r="F12" s="119"/>
      <c r="G12" s="117" t="s">
        <v>8</v>
      </c>
      <c r="H12" s="119"/>
      <c r="I12" s="117" t="s">
        <v>249</v>
      </c>
      <c r="J12" s="118">
        <f t="shared" si="3"/>
        <v>640</v>
      </c>
      <c r="K12" s="118">
        <v>450.0</v>
      </c>
      <c r="L12" s="118">
        <f>sum(J12-K12)</f>
        <v>190</v>
      </c>
      <c r="M12" s="117" t="s">
        <v>433</v>
      </c>
      <c r="N12" s="117" t="s">
        <v>434</v>
      </c>
      <c r="O12" s="119"/>
      <c r="P12" s="119"/>
      <c r="Q12" s="120">
        <v>45870.0</v>
      </c>
      <c r="R12" s="117">
        <v>8527.0</v>
      </c>
      <c r="S12" s="120">
        <v>45876.0</v>
      </c>
      <c r="T12" s="117">
        <v>8542.0</v>
      </c>
      <c r="U12" s="120"/>
      <c r="V12" s="117">
        <v>8512.0</v>
      </c>
      <c r="W12" s="119"/>
      <c r="X12" s="119"/>
      <c r="Y12" s="119"/>
      <c r="Z12" s="119"/>
      <c r="AA12" s="119"/>
      <c r="AB12" s="119"/>
    </row>
    <row r="13">
      <c r="A13" s="82">
        <v>110.0</v>
      </c>
      <c r="B13" s="85"/>
      <c r="C13" s="84"/>
      <c r="D13" s="83"/>
      <c r="E13" s="84"/>
      <c r="F13" s="85"/>
      <c r="G13" s="83" t="s">
        <v>8</v>
      </c>
      <c r="H13" s="85"/>
      <c r="I13" s="83" t="s">
        <v>249</v>
      </c>
      <c r="J13" s="84">
        <f t="shared" si="3"/>
        <v>0</v>
      </c>
      <c r="K13" s="84"/>
      <c r="L13" s="84">
        <f t="shared" ref="L13:L14" si="4">SUM(J13-K13)</f>
        <v>0</v>
      </c>
      <c r="M13" s="86">
        <v>45870.0</v>
      </c>
      <c r="N13" s="83">
        <v>8537.0</v>
      </c>
      <c r="O13" s="83" t="s">
        <v>140</v>
      </c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</row>
    <row r="14">
      <c r="A14" s="116">
        <v>111.0</v>
      </c>
      <c r="B14" s="117" t="s">
        <v>435</v>
      </c>
      <c r="C14" s="118">
        <v>640.0</v>
      </c>
      <c r="D14" s="116"/>
      <c r="E14" s="121"/>
      <c r="F14" s="119"/>
      <c r="G14" s="117" t="s">
        <v>8</v>
      </c>
      <c r="H14" s="119"/>
      <c r="I14" s="117" t="s">
        <v>253</v>
      </c>
      <c r="J14" s="118">
        <f t="shared" si="3"/>
        <v>640</v>
      </c>
      <c r="K14" s="118">
        <v>640.0</v>
      </c>
      <c r="L14" s="118">
        <f t="shared" si="4"/>
        <v>0</v>
      </c>
      <c r="M14" s="120">
        <v>45873.0</v>
      </c>
      <c r="N14" s="117">
        <v>8540.0</v>
      </c>
      <c r="O14" s="117" t="s">
        <v>140</v>
      </c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</row>
    <row r="15">
      <c r="A15" s="123">
        <v>112.0</v>
      </c>
      <c r="B15" s="124" t="s">
        <v>397</v>
      </c>
      <c r="C15" s="125">
        <v>600.0</v>
      </c>
      <c r="D15" s="123"/>
      <c r="E15" s="125"/>
      <c r="F15" s="126"/>
      <c r="G15" s="124" t="s">
        <v>11</v>
      </c>
      <c r="H15" s="126"/>
      <c r="I15" s="124" t="s">
        <v>249</v>
      </c>
      <c r="J15" s="125">
        <v>320.0</v>
      </c>
      <c r="K15" s="125">
        <v>480.0</v>
      </c>
      <c r="L15" s="125">
        <f t="shared" ref="L15:L17" si="5">sum(J15-K15)</f>
        <v>-160</v>
      </c>
      <c r="M15" s="124" t="s">
        <v>436</v>
      </c>
      <c r="N15" s="124" t="s">
        <v>437</v>
      </c>
      <c r="O15" s="124" t="s">
        <v>140</v>
      </c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</row>
    <row r="16">
      <c r="A16" s="116">
        <v>113.0</v>
      </c>
      <c r="B16" s="117" t="s">
        <v>21</v>
      </c>
      <c r="C16" s="118">
        <v>640.0</v>
      </c>
      <c r="D16" s="116"/>
      <c r="E16" s="118">
        <v>-150.0</v>
      </c>
      <c r="F16" s="117" t="s">
        <v>378</v>
      </c>
      <c r="G16" s="117" t="s">
        <v>8</v>
      </c>
      <c r="H16" s="119"/>
      <c r="I16" s="117" t="s">
        <v>253</v>
      </c>
      <c r="J16" s="118">
        <f t="shared" ref="J16:J26" si="6">sum(C16+E16)</f>
        <v>490</v>
      </c>
      <c r="K16" s="118">
        <v>450.0</v>
      </c>
      <c r="L16" s="118">
        <f t="shared" si="5"/>
        <v>40</v>
      </c>
      <c r="M16" s="135">
        <v>46080.0</v>
      </c>
      <c r="N16" s="117" t="s">
        <v>438</v>
      </c>
      <c r="O16" s="117" t="s">
        <v>69</v>
      </c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</row>
    <row r="17">
      <c r="A17" s="82">
        <v>114.0</v>
      </c>
      <c r="B17" s="85"/>
      <c r="C17" s="84"/>
      <c r="D17" s="82"/>
      <c r="E17" s="84"/>
      <c r="F17" s="85"/>
      <c r="G17" s="83" t="s">
        <v>11</v>
      </c>
      <c r="H17" s="85"/>
      <c r="I17" s="83" t="s">
        <v>249</v>
      </c>
      <c r="J17" s="84">
        <f t="shared" si="6"/>
        <v>0</v>
      </c>
      <c r="K17" s="84"/>
      <c r="L17" s="84">
        <f t="shared" si="5"/>
        <v>0</v>
      </c>
      <c r="M17" s="93">
        <v>45863.0</v>
      </c>
      <c r="N17" s="83">
        <v>8524.0</v>
      </c>
      <c r="O17" s="83" t="s">
        <v>69</v>
      </c>
      <c r="P17" s="85"/>
      <c r="Q17" s="86">
        <v>45849.0</v>
      </c>
      <c r="R17" s="83">
        <v>8506.0</v>
      </c>
      <c r="S17" s="86"/>
      <c r="T17" s="85"/>
      <c r="U17" s="85"/>
      <c r="V17" s="85"/>
      <c r="W17" s="85"/>
      <c r="X17" s="85"/>
      <c r="Y17" s="85"/>
      <c r="Z17" s="85"/>
      <c r="AA17" s="85"/>
      <c r="AB17" s="85"/>
    </row>
    <row r="18">
      <c r="A18" s="82">
        <v>215.0</v>
      </c>
      <c r="B18" s="83" t="s">
        <v>439</v>
      </c>
      <c r="C18" s="84"/>
      <c r="D18" s="82"/>
      <c r="E18" s="84"/>
      <c r="F18" s="85"/>
      <c r="G18" s="83" t="s">
        <v>11</v>
      </c>
      <c r="H18" s="85"/>
      <c r="I18" s="83"/>
      <c r="J18" s="84">
        <f t="shared" si="6"/>
        <v>0</v>
      </c>
      <c r="K18" s="84"/>
      <c r="L18" s="84">
        <f>SUM(J18-K18)</f>
        <v>0</v>
      </c>
      <c r="M18" s="86"/>
      <c r="N18" s="83"/>
      <c r="O18" s="83"/>
      <c r="P18" s="85"/>
      <c r="Q18" s="86">
        <v>45849.0</v>
      </c>
      <c r="R18" s="83">
        <v>8504.0</v>
      </c>
      <c r="S18" s="85"/>
      <c r="T18" s="85"/>
      <c r="U18" s="85"/>
      <c r="V18" s="85"/>
      <c r="W18" s="85"/>
      <c r="X18" s="85"/>
      <c r="Y18" s="85"/>
      <c r="Z18" s="85"/>
      <c r="AA18" s="85"/>
      <c r="AB18" s="85"/>
    </row>
    <row r="19">
      <c r="A19" s="116">
        <v>216.0</v>
      </c>
      <c r="B19" s="117" t="s">
        <v>22</v>
      </c>
      <c r="C19" s="118">
        <v>640.0</v>
      </c>
      <c r="D19" s="116"/>
      <c r="E19" s="121"/>
      <c r="F19" s="119"/>
      <c r="G19" s="117" t="s">
        <v>8</v>
      </c>
      <c r="H19" s="119"/>
      <c r="I19" s="117" t="s">
        <v>249</v>
      </c>
      <c r="J19" s="118">
        <f t="shared" si="6"/>
        <v>640</v>
      </c>
      <c r="K19" s="118">
        <v>640.0</v>
      </c>
      <c r="L19" s="118">
        <f>sum(J19-K19)</f>
        <v>0</v>
      </c>
      <c r="M19" s="117" t="s">
        <v>440</v>
      </c>
      <c r="N19" s="117" t="s">
        <v>441</v>
      </c>
      <c r="O19" s="117" t="s">
        <v>140</v>
      </c>
      <c r="P19" s="119"/>
      <c r="Q19" s="120">
        <v>45870.0</v>
      </c>
      <c r="R19" s="117">
        <v>8531.0</v>
      </c>
      <c r="S19" s="120"/>
      <c r="T19" s="119"/>
      <c r="U19" s="120"/>
      <c r="V19" s="119"/>
      <c r="W19" s="119"/>
      <c r="X19" s="119"/>
      <c r="Y19" s="119"/>
      <c r="Z19" s="119"/>
      <c r="AA19" s="119"/>
      <c r="AB19" s="119"/>
    </row>
    <row r="20">
      <c r="A20" s="127">
        <v>217.0</v>
      </c>
      <c r="B20" s="117" t="s">
        <v>442</v>
      </c>
      <c r="C20" s="128">
        <v>700.0</v>
      </c>
      <c r="D20" s="127"/>
      <c r="E20" s="128"/>
      <c r="F20" s="129"/>
      <c r="G20" s="130" t="s">
        <v>11</v>
      </c>
      <c r="H20" s="130" t="s">
        <v>443</v>
      </c>
      <c r="I20" s="130"/>
      <c r="J20" s="128">
        <f t="shared" si="6"/>
        <v>700</v>
      </c>
      <c r="K20" s="128">
        <v>525.0</v>
      </c>
      <c r="L20" s="128">
        <f t="shared" ref="L20:L21" si="7">SUM(J20-K20)</f>
        <v>175</v>
      </c>
      <c r="M20" s="130" t="s">
        <v>444</v>
      </c>
      <c r="N20" s="130" t="s">
        <v>445</v>
      </c>
      <c r="O20" s="130" t="s">
        <v>140</v>
      </c>
      <c r="P20" s="129"/>
      <c r="Q20" s="129"/>
      <c r="R20" s="129"/>
      <c r="S20" s="129"/>
      <c r="T20" s="129"/>
      <c r="U20" s="129"/>
      <c r="V20" s="129"/>
      <c r="W20" s="119"/>
      <c r="X20" s="119"/>
      <c r="Y20" s="119"/>
      <c r="Z20" s="119"/>
      <c r="AA20" s="119"/>
      <c r="AB20" s="119"/>
    </row>
    <row r="21">
      <c r="A21" s="82">
        <v>218.0</v>
      </c>
      <c r="B21" s="85"/>
      <c r="C21" s="84"/>
      <c r="D21" s="82"/>
      <c r="E21" s="84"/>
      <c r="F21" s="83"/>
      <c r="G21" s="83" t="s">
        <v>11</v>
      </c>
      <c r="H21" s="83"/>
      <c r="I21" s="83"/>
      <c r="J21" s="84">
        <f t="shared" si="6"/>
        <v>0</v>
      </c>
      <c r="K21" s="84"/>
      <c r="L21" s="84">
        <f t="shared" si="7"/>
        <v>0</v>
      </c>
      <c r="M21" s="93"/>
      <c r="N21" s="85"/>
      <c r="O21" s="85"/>
      <c r="P21" s="83"/>
      <c r="Q21" s="94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</row>
    <row r="22">
      <c r="A22" s="82">
        <v>219.0</v>
      </c>
      <c r="B22" s="83" t="s">
        <v>446</v>
      </c>
      <c r="C22" s="84"/>
      <c r="D22" s="82"/>
      <c r="E22" s="84"/>
      <c r="F22" s="85"/>
      <c r="G22" s="83" t="s">
        <v>11</v>
      </c>
      <c r="H22" s="85"/>
      <c r="I22" s="83" t="s">
        <v>249</v>
      </c>
      <c r="J22" s="84">
        <f t="shared" si="6"/>
        <v>0</v>
      </c>
      <c r="K22" s="84">
        <v>175.0</v>
      </c>
      <c r="L22" s="84">
        <f>sum(J22-K22)</f>
        <v>-175</v>
      </c>
      <c r="M22" s="86">
        <v>45863.0</v>
      </c>
      <c r="N22" s="83">
        <v>8519.0</v>
      </c>
      <c r="O22" s="83" t="s">
        <v>140</v>
      </c>
      <c r="P22" s="85"/>
      <c r="Q22" s="86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</row>
    <row r="23">
      <c r="A23" s="50">
        <v>220.0</v>
      </c>
      <c r="B23" s="51" t="s">
        <v>447</v>
      </c>
      <c r="C23" s="53">
        <v>700.0</v>
      </c>
      <c r="D23" s="50"/>
      <c r="E23" s="53"/>
      <c r="F23" s="52"/>
      <c r="G23" s="51" t="s">
        <v>8</v>
      </c>
      <c r="H23" s="52"/>
      <c r="I23" s="51" t="s">
        <v>249</v>
      </c>
      <c r="J23" s="53">
        <f t="shared" si="6"/>
        <v>700</v>
      </c>
      <c r="K23" s="53">
        <v>160.0</v>
      </c>
      <c r="L23" s="53">
        <f t="shared" ref="L23:L27" si="8">SUM(J23-K23)</f>
        <v>540</v>
      </c>
      <c r="M23" s="105">
        <v>46081.0</v>
      </c>
      <c r="N23" s="51" t="s">
        <v>448</v>
      </c>
      <c r="O23" s="51" t="s">
        <v>140</v>
      </c>
      <c r="P23" s="52"/>
      <c r="Q23" s="105">
        <v>45877.0</v>
      </c>
      <c r="R23" s="51">
        <v>8547.0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116">
        <v>221.0</v>
      </c>
      <c r="B24" s="117" t="s">
        <v>25</v>
      </c>
      <c r="C24" s="118">
        <v>700.0</v>
      </c>
      <c r="D24" s="116"/>
      <c r="E24" s="118"/>
      <c r="F24" s="119"/>
      <c r="G24" s="117" t="s">
        <v>8</v>
      </c>
      <c r="H24" s="119"/>
      <c r="I24" s="117" t="s">
        <v>253</v>
      </c>
      <c r="J24" s="118">
        <f t="shared" si="6"/>
        <v>700</v>
      </c>
      <c r="K24" s="118">
        <v>700.0</v>
      </c>
      <c r="L24" s="118">
        <f t="shared" si="8"/>
        <v>0</v>
      </c>
      <c r="M24" s="117" t="s">
        <v>449</v>
      </c>
      <c r="N24" s="117" t="s">
        <v>450</v>
      </c>
      <c r="O24" s="117" t="s">
        <v>140</v>
      </c>
      <c r="P24" s="119"/>
      <c r="Q24" s="120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>
      <c r="A25" s="116">
        <v>222.0</v>
      </c>
      <c r="B25" s="117"/>
      <c r="C25" s="118">
        <v>700.0</v>
      </c>
      <c r="D25" s="119"/>
      <c r="E25" s="118"/>
      <c r="F25" s="119"/>
      <c r="G25" s="117" t="s">
        <v>11</v>
      </c>
      <c r="H25" s="119"/>
      <c r="I25" s="117"/>
      <c r="J25" s="118">
        <f t="shared" si="6"/>
        <v>700</v>
      </c>
      <c r="K25" s="118"/>
      <c r="L25" s="118">
        <f t="shared" si="8"/>
        <v>700</v>
      </c>
      <c r="M25" s="119"/>
      <c r="N25" s="119"/>
      <c r="O25" s="119"/>
      <c r="P25" s="119"/>
      <c r="Q25" s="120"/>
      <c r="R25" s="119"/>
      <c r="S25" s="120"/>
      <c r="T25" s="119"/>
      <c r="U25" s="119"/>
      <c r="V25" s="119"/>
      <c r="W25" s="119"/>
      <c r="X25" s="119"/>
      <c r="Y25" s="119"/>
      <c r="Z25" s="119"/>
      <c r="AA25" s="119"/>
      <c r="AB25" s="119"/>
    </row>
    <row r="26">
      <c r="A26" s="82">
        <v>223.0</v>
      </c>
      <c r="B26" s="85"/>
      <c r="C26" s="84"/>
      <c r="D26" s="85"/>
      <c r="E26" s="84"/>
      <c r="F26" s="85"/>
      <c r="G26" s="83" t="s">
        <v>11</v>
      </c>
      <c r="H26" s="85"/>
      <c r="I26" s="85"/>
      <c r="J26" s="96">
        <f t="shared" si="6"/>
        <v>0</v>
      </c>
      <c r="K26" s="96"/>
      <c r="L26" s="84">
        <f t="shared" si="8"/>
        <v>0</v>
      </c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</row>
    <row r="27">
      <c r="A27" s="82">
        <v>224.0</v>
      </c>
      <c r="B27" s="85"/>
      <c r="C27" s="84"/>
      <c r="D27" s="85"/>
      <c r="E27" s="84"/>
      <c r="F27" s="85"/>
      <c r="G27" s="83" t="s">
        <v>11</v>
      </c>
      <c r="H27" s="85"/>
      <c r="I27" s="103"/>
      <c r="J27" s="96">
        <f>Sum(C27+E27)</f>
        <v>0</v>
      </c>
      <c r="K27" s="96"/>
      <c r="L27" s="84">
        <f t="shared" si="8"/>
        <v>0</v>
      </c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</row>
    <row r="28">
      <c r="A28" s="116">
        <v>225.0</v>
      </c>
      <c r="B28" s="117" t="s">
        <v>451</v>
      </c>
      <c r="C28" s="118">
        <v>640.0</v>
      </c>
      <c r="D28" s="116"/>
      <c r="E28" s="118"/>
      <c r="F28" s="119"/>
      <c r="G28" s="117" t="s">
        <v>11</v>
      </c>
      <c r="H28" s="119"/>
      <c r="I28" s="117" t="s">
        <v>249</v>
      </c>
      <c r="J28" s="118">
        <f t="shared" ref="J28:J33" si="9">sum(C28+E28)</f>
        <v>640</v>
      </c>
      <c r="K28" s="133">
        <v>95.0</v>
      </c>
      <c r="L28" s="118">
        <f>sum(J28-K28)</f>
        <v>545</v>
      </c>
      <c r="M28" s="135">
        <v>46066.0</v>
      </c>
      <c r="N28" s="117" t="s">
        <v>452</v>
      </c>
      <c r="O28" s="117" t="s">
        <v>140</v>
      </c>
      <c r="P28" s="119"/>
      <c r="Q28" s="120">
        <v>45869.0</v>
      </c>
      <c r="R28" s="117">
        <v>8528.0</v>
      </c>
      <c r="S28" s="135">
        <v>45875.0</v>
      </c>
      <c r="T28" s="117">
        <v>8541.0</v>
      </c>
      <c r="U28" s="117" t="s">
        <v>366</v>
      </c>
      <c r="V28" s="119"/>
      <c r="W28" s="119"/>
      <c r="X28" s="119"/>
      <c r="Y28" s="119"/>
      <c r="Z28" s="119"/>
      <c r="AA28" s="119"/>
      <c r="AB28" s="119"/>
    </row>
    <row r="29">
      <c r="A29" s="116">
        <v>226.0</v>
      </c>
      <c r="B29" s="117" t="s">
        <v>453</v>
      </c>
      <c r="C29" s="118">
        <v>640.0</v>
      </c>
      <c r="D29" s="116"/>
      <c r="E29" s="118"/>
      <c r="F29" s="119"/>
      <c r="G29" s="117" t="s">
        <v>11</v>
      </c>
      <c r="H29" s="119"/>
      <c r="I29" s="117"/>
      <c r="J29" s="118">
        <f t="shared" si="9"/>
        <v>640</v>
      </c>
      <c r="K29" s="132">
        <v>670.0</v>
      </c>
      <c r="L29" s="118">
        <f t="shared" ref="L29:L33" si="10">SUM(J29-K29)</f>
        <v>-30</v>
      </c>
      <c r="M29" s="117" t="s">
        <v>454</v>
      </c>
      <c r="N29" s="117" t="s">
        <v>455</v>
      </c>
      <c r="O29" s="117" t="s">
        <v>140</v>
      </c>
      <c r="P29" s="119"/>
      <c r="Q29" s="120"/>
      <c r="R29" s="117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>
      <c r="A30" s="116">
        <v>227.0</v>
      </c>
      <c r="B30" s="117" t="s">
        <v>28</v>
      </c>
      <c r="C30" s="118">
        <v>640.0</v>
      </c>
      <c r="D30" s="116"/>
      <c r="E30" s="121"/>
      <c r="F30" s="119"/>
      <c r="G30" s="117" t="s">
        <v>11</v>
      </c>
      <c r="H30" s="119"/>
      <c r="I30" s="117" t="s">
        <v>253</v>
      </c>
      <c r="J30" s="118">
        <f t="shared" si="9"/>
        <v>640</v>
      </c>
      <c r="K30" s="132">
        <v>600.0</v>
      </c>
      <c r="L30" s="118">
        <f t="shared" si="10"/>
        <v>40</v>
      </c>
      <c r="M30" s="117" t="s">
        <v>456</v>
      </c>
      <c r="N30" s="117" t="s">
        <v>457</v>
      </c>
      <c r="O30" s="117" t="s">
        <v>140</v>
      </c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>
      <c r="A31" s="116">
        <v>228.0</v>
      </c>
      <c r="B31" s="117" t="s">
        <v>29</v>
      </c>
      <c r="C31" s="118">
        <v>640.0</v>
      </c>
      <c r="D31" s="116"/>
      <c r="E31" s="118"/>
      <c r="F31" s="119"/>
      <c r="G31" s="117" t="s">
        <v>8</v>
      </c>
      <c r="H31" s="119"/>
      <c r="I31" s="117" t="s">
        <v>266</v>
      </c>
      <c r="J31" s="118">
        <f t="shared" si="9"/>
        <v>640</v>
      </c>
      <c r="K31" s="133">
        <v>300.0</v>
      </c>
      <c r="L31" s="118">
        <f t="shared" si="10"/>
        <v>340</v>
      </c>
      <c r="M31" s="120">
        <v>45863.0</v>
      </c>
      <c r="N31" s="117">
        <v>8523.0</v>
      </c>
      <c r="O31" s="117" t="s">
        <v>341</v>
      </c>
      <c r="P31" s="119"/>
      <c r="Q31" s="120">
        <v>45877.0</v>
      </c>
      <c r="R31" s="117">
        <v>8545.0</v>
      </c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>
      <c r="A32" s="116">
        <v>229.0</v>
      </c>
      <c r="B32" s="117" t="s">
        <v>71</v>
      </c>
      <c r="C32" s="118">
        <v>640.0</v>
      </c>
      <c r="D32" s="116"/>
      <c r="E32" s="121"/>
      <c r="F32" s="119"/>
      <c r="G32" s="117" t="s">
        <v>8</v>
      </c>
      <c r="H32" s="119"/>
      <c r="I32" s="117" t="s">
        <v>266</v>
      </c>
      <c r="J32" s="118">
        <f t="shared" si="9"/>
        <v>640</v>
      </c>
      <c r="K32" s="132">
        <v>480.0</v>
      </c>
      <c r="L32" s="118">
        <f t="shared" si="10"/>
        <v>160</v>
      </c>
      <c r="M32" s="117" t="s">
        <v>458</v>
      </c>
      <c r="N32" s="117" t="s">
        <v>459</v>
      </c>
      <c r="O32" s="117" t="s">
        <v>140</v>
      </c>
      <c r="P32" s="119"/>
      <c r="Q32" s="120">
        <v>45877.0</v>
      </c>
      <c r="R32" s="117">
        <v>8544.0</v>
      </c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>
      <c r="A33" s="116">
        <v>230.0</v>
      </c>
      <c r="B33" s="117" t="s">
        <v>420</v>
      </c>
      <c r="C33" s="118">
        <v>640.0</v>
      </c>
      <c r="D33" s="116"/>
      <c r="E33" s="118"/>
      <c r="F33" s="119"/>
      <c r="G33" s="117" t="s">
        <v>8</v>
      </c>
      <c r="H33" s="119"/>
      <c r="I33" s="117" t="s">
        <v>249</v>
      </c>
      <c r="J33" s="118">
        <f t="shared" si="9"/>
        <v>640</v>
      </c>
      <c r="K33" s="133">
        <v>480.0</v>
      </c>
      <c r="L33" s="118">
        <f t="shared" si="10"/>
        <v>160</v>
      </c>
      <c r="M33" s="117" t="s">
        <v>460</v>
      </c>
      <c r="O33" s="117" t="s">
        <v>140</v>
      </c>
      <c r="P33" s="119"/>
      <c r="Q33" s="120">
        <v>45870.0</v>
      </c>
      <c r="R33" s="117">
        <v>8535.0</v>
      </c>
      <c r="S33" s="120"/>
      <c r="T33" s="119"/>
      <c r="U33" s="120"/>
      <c r="V33" s="119"/>
      <c r="W33" s="119"/>
      <c r="X33" s="119"/>
      <c r="Y33" s="119"/>
      <c r="Z33" s="119"/>
      <c r="AA33" s="119"/>
      <c r="AB33" s="119"/>
    </row>
    <row r="34">
      <c r="N34" s="117" t="s">
        <v>461</v>
      </c>
      <c r="W34" s="17"/>
      <c r="X34" s="17"/>
      <c r="Y34" s="17"/>
      <c r="Z34" s="17"/>
      <c r="AA34" s="17"/>
      <c r="AB34" s="17"/>
    </row>
    <row r="35">
      <c r="A35" s="12" t="s">
        <v>197</v>
      </c>
      <c r="B35" s="17"/>
      <c r="C35" s="63">
        <f>SUM(C3:C33)</f>
        <v>14700</v>
      </c>
      <c r="D35" s="17"/>
      <c r="E35" s="63">
        <f>SUM(E3:E33)</f>
        <v>200</v>
      </c>
      <c r="F35" s="17"/>
      <c r="G35" s="17">
        <f t="array" ref="G35">COUNTIF(G3:G33,"y")</f>
        <v>17</v>
      </c>
      <c r="H35" s="17"/>
      <c r="I35" s="17"/>
      <c r="J35" s="63">
        <f t="shared" ref="J35:L35" si="11">SUM(J3:J33)</f>
        <v>14620</v>
      </c>
      <c r="K35" s="63">
        <f t="shared" si="11"/>
        <v>10415</v>
      </c>
      <c r="L35" s="63">
        <f t="shared" si="11"/>
        <v>4205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7">
      <c r="W37" s="19"/>
      <c r="X37" s="19"/>
      <c r="Y37" s="19"/>
      <c r="Z37" s="19"/>
      <c r="AA37" s="19"/>
      <c r="AB37" s="19"/>
    </row>
    <row r="38">
      <c r="A38" s="18" t="s">
        <v>34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21"/>
      <c r="X38" s="21"/>
      <c r="Y38" s="21"/>
      <c r="Z38" s="21"/>
      <c r="AA38" s="21"/>
      <c r="AB38" s="21"/>
    </row>
    <row r="39">
      <c r="A39" s="20" t="s">
        <v>198</v>
      </c>
      <c r="B39" s="20" t="s">
        <v>121</v>
      </c>
      <c r="C39" s="21"/>
      <c r="D39" s="20" t="s">
        <v>199</v>
      </c>
      <c r="E39" s="20">
        <v>1.0</v>
      </c>
      <c r="F39" s="20">
        <v>2.0</v>
      </c>
      <c r="G39" s="20">
        <v>3.0</v>
      </c>
      <c r="H39" s="20">
        <v>4.0</v>
      </c>
      <c r="I39" s="20"/>
      <c r="J39" s="20">
        <v>5.0</v>
      </c>
      <c r="K39" s="20">
        <v>6.0</v>
      </c>
      <c r="L39" s="20">
        <v>7.0</v>
      </c>
      <c r="M39" s="20">
        <v>8.0</v>
      </c>
      <c r="N39" s="20">
        <v>9.0</v>
      </c>
      <c r="O39" s="22" t="s">
        <v>200</v>
      </c>
      <c r="P39" s="21"/>
      <c r="Q39" s="21"/>
      <c r="R39" s="21"/>
      <c r="S39" s="21"/>
      <c r="T39" s="21"/>
      <c r="U39" s="21"/>
      <c r="V39" s="21"/>
    </row>
    <row r="40">
      <c r="A40" s="7" t="s">
        <v>122</v>
      </c>
      <c r="B40" s="42">
        <f>O49</f>
        <v>2000</v>
      </c>
      <c r="D40" s="7" t="s">
        <v>61</v>
      </c>
      <c r="E40" s="7">
        <v>500.0</v>
      </c>
      <c r="F40" s="7">
        <v>500.0</v>
      </c>
      <c r="G40" s="7">
        <v>500.0</v>
      </c>
      <c r="H40" s="7">
        <v>500.0</v>
      </c>
      <c r="O40" s="17">
        <f t="shared" ref="O40:O41" si="12">SUM(E40:N40)</f>
        <v>2000</v>
      </c>
    </row>
    <row r="41">
      <c r="A41" s="7" t="s">
        <v>123</v>
      </c>
      <c r="B41" s="42">
        <v>0.0</v>
      </c>
      <c r="D41" s="7" t="s">
        <v>374</v>
      </c>
      <c r="O41" s="17">
        <f t="shared" si="12"/>
        <v>0</v>
      </c>
    </row>
    <row r="42">
      <c r="A42" s="7" t="s">
        <v>127</v>
      </c>
      <c r="B42" s="42">
        <v>119.43</v>
      </c>
      <c r="D42" s="7" t="s">
        <v>462</v>
      </c>
      <c r="E42" s="7">
        <v>600.0</v>
      </c>
      <c r="F42" s="7">
        <v>600.0</v>
      </c>
      <c r="G42" s="7">
        <v>600.0</v>
      </c>
      <c r="H42" s="7">
        <v>600.0</v>
      </c>
      <c r="O42" s="17"/>
    </row>
    <row r="43">
      <c r="A43" s="7" t="s">
        <v>124</v>
      </c>
      <c r="B43" s="42">
        <v>2029.19</v>
      </c>
      <c r="D43" s="7" t="s">
        <v>297</v>
      </c>
      <c r="O43" s="17">
        <f t="shared" ref="O43:O48" si="13">SUM(E43:N43)</f>
        <v>0</v>
      </c>
    </row>
    <row r="44">
      <c r="A44" s="7" t="s">
        <v>125</v>
      </c>
      <c r="B44" s="42">
        <v>170.5</v>
      </c>
      <c r="O44" s="17">
        <f t="shared" si="13"/>
        <v>0</v>
      </c>
    </row>
    <row r="45">
      <c r="A45" s="7" t="s">
        <v>126</v>
      </c>
      <c r="B45" s="42">
        <v>364.44</v>
      </c>
      <c r="O45" s="17">
        <f t="shared" si="13"/>
        <v>0</v>
      </c>
    </row>
    <row r="46">
      <c r="A46" s="7" t="s">
        <v>128</v>
      </c>
      <c r="B46" s="42">
        <v>918.21</v>
      </c>
      <c r="O46" s="17">
        <f t="shared" si="13"/>
        <v>0</v>
      </c>
    </row>
    <row r="47">
      <c r="A47" s="7" t="s">
        <v>129</v>
      </c>
      <c r="B47" s="42">
        <v>1000.0</v>
      </c>
      <c r="D47" s="7"/>
      <c r="O47" s="17">
        <f t="shared" si="13"/>
        <v>0</v>
      </c>
    </row>
    <row r="48">
      <c r="A48" s="7" t="s">
        <v>207</v>
      </c>
      <c r="B48" s="42">
        <v>828.78</v>
      </c>
      <c r="D48" s="7"/>
      <c r="E48" s="7"/>
      <c r="F48" s="7"/>
      <c r="G48" s="7"/>
      <c r="H48" s="7"/>
      <c r="J48" s="7"/>
      <c r="K48" s="7"/>
      <c r="O48" s="17">
        <f t="shared" si="13"/>
        <v>0</v>
      </c>
    </row>
    <row r="49">
      <c r="A49" s="7" t="s">
        <v>381</v>
      </c>
      <c r="B49" s="43" t="str">
        <f>E80</f>
        <v/>
      </c>
      <c r="O49" s="17">
        <f>SUM(O40:O48)</f>
        <v>2000</v>
      </c>
    </row>
    <row r="50">
      <c r="B50" s="43"/>
      <c r="W50" s="17"/>
      <c r="X50" s="17"/>
      <c r="Y50" s="17"/>
      <c r="Z50" s="17"/>
      <c r="AA50" s="17"/>
      <c r="AB50" s="17"/>
    </row>
    <row r="51">
      <c r="A51" s="7" t="s">
        <v>200</v>
      </c>
      <c r="B51" s="43">
        <f>SUM(B40:B49)</f>
        <v>7430.55</v>
      </c>
    </row>
    <row r="52">
      <c r="A52" s="17"/>
      <c r="B52" s="17"/>
      <c r="C52" s="17"/>
      <c r="D52" s="22" t="s">
        <v>209</v>
      </c>
      <c r="E52" s="22" t="s">
        <v>121</v>
      </c>
      <c r="F52" s="22" t="s">
        <v>210</v>
      </c>
      <c r="G52" s="22" t="s">
        <v>211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</row>
    <row r="53">
      <c r="B53" s="7" t="s">
        <v>347</v>
      </c>
      <c r="C53" s="7" t="s">
        <v>348</v>
      </c>
    </row>
    <row r="54">
      <c r="A54" s="7" t="s">
        <v>214</v>
      </c>
      <c r="B54" s="42">
        <f t="shared" ref="B54:C54" si="14">J35</f>
        <v>14620</v>
      </c>
      <c r="C54" s="42">
        <f t="shared" si="14"/>
        <v>10415</v>
      </c>
      <c r="E54" s="42"/>
    </row>
    <row r="55">
      <c r="A55" s="7" t="s">
        <v>217</v>
      </c>
      <c r="B55" s="43">
        <f>B51</f>
        <v>7430.55</v>
      </c>
      <c r="C55" s="43">
        <f>B51</f>
        <v>7430.55</v>
      </c>
      <c r="E55" s="42"/>
    </row>
    <row r="56">
      <c r="E56" s="42"/>
    </row>
    <row r="57">
      <c r="A57" s="44" t="s">
        <v>221</v>
      </c>
      <c r="B57" s="74">
        <f>B54-B55</f>
        <v>7189.45</v>
      </c>
      <c r="C57" s="74">
        <f>SUM(C54-C55)</f>
        <v>2984.45</v>
      </c>
      <c r="D57" s="75"/>
      <c r="E57" s="42"/>
    </row>
    <row r="58">
      <c r="E58" s="43"/>
    </row>
    <row r="59">
      <c r="A59" s="7" t="s">
        <v>361</v>
      </c>
      <c r="E59" s="43"/>
    </row>
    <row r="60">
      <c r="E60" s="43"/>
    </row>
    <row r="61">
      <c r="E61" s="43"/>
    </row>
    <row r="62">
      <c r="E62" s="43"/>
    </row>
    <row r="63">
      <c r="E63" s="42"/>
    </row>
    <row r="64">
      <c r="E64" s="42"/>
    </row>
    <row r="65">
      <c r="E65" s="42"/>
    </row>
    <row r="66">
      <c r="E66" s="43"/>
    </row>
    <row r="67">
      <c r="E67" s="43"/>
    </row>
    <row r="68">
      <c r="E68" s="43"/>
    </row>
    <row r="69">
      <c r="E69" s="43"/>
    </row>
    <row r="70">
      <c r="E70" s="43"/>
    </row>
    <row r="71">
      <c r="E71" s="43"/>
    </row>
    <row r="72">
      <c r="E72" s="43"/>
    </row>
    <row r="73">
      <c r="E73" s="43"/>
    </row>
    <row r="74">
      <c r="E74" s="43"/>
    </row>
    <row r="75">
      <c r="E75" s="43"/>
    </row>
    <row r="76">
      <c r="D76" s="7"/>
      <c r="E76" s="43"/>
    </row>
    <row r="77">
      <c r="D77" s="7"/>
      <c r="E77" s="43"/>
    </row>
    <row r="78">
      <c r="D78" s="7" t="s">
        <v>200</v>
      </c>
      <c r="E78" s="43">
        <f>SUM(E51:E74)</f>
        <v>0</v>
      </c>
    </row>
  </sheetData>
  <conditionalFormatting sqref="B1">
    <cfRule type="notContainsBlanks" dxfId="9" priority="1">
      <formula>LEN(TRIM(B1))&gt;0</formula>
    </cfRule>
  </conditionalFormatting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3.25"/>
    <col customWidth="1" min="2" max="2" width="26.13"/>
    <col customWidth="1" min="4" max="4" width="19.25"/>
    <col customWidth="1" min="5" max="5" width="17.63"/>
    <col customWidth="1" min="6" max="6" width="5.38"/>
    <col customWidth="1" min="7" max="7" width="8.88"/>
    <col customWidth="1" min="8" max="8" width="19.5"/>
    <col customWidth="1" min="9" max="9" width="18.88"/>
    <col customWidth="1" min="12" max="12" width="17.75"/>
    <col customWidth="1" min="13" max="13" width="14.75"/>
    <col customWidth="1" min="14" max="14" width="15.5"/>
    <col customWidth="1" min="15" max="15" width="16.75"/>
    <col customWidth="1" min="18" max="18" width="19.38"/>
    <col customWidth="1" min="19" max="19" width="17.25"/>
  </cols>
  <sheetData>
    <row r="1">
      <c r="A1" s="44" t="s">
        <v>36</v>
      </c>
      <c r="B1" s="44" t="s">
        <v>37</v>
      </c>
      <c r="C1" s="44" t="s">
        <v>2</v>
      </c>
      <c r="D1" s="44" t="s">
        <v>38</v>
      </c>
      <c r="E1" s="44" t="s">
        <v>39</v>
      </c>
      <c r="F1" s="44" t="s">
        <v>40</v>
      </c>
      <c r="G1" s="44" t="s">
        <v>3</v>
      </c>
      <c r="H1" s="44" t="s">
        <v>7</v>
      </c>
      <c r="I1" s="44" t="s">
        <v>246</v>
      </c>
      <c r="J1" s="44" t="s">
        <v>41</v>
      </c>
      <c r="K1" s="44" t="s">
        <v>42</v>
      </c>
      <c r="L1" s="44" t="s">
        <v>43</v>
      </c>
      <c r="M1" s="44" t="s">
        <v>44</v>
      </c>
      <c r="N1" s="44"/>
      <c r="O1" s="44" t="s">
        <v>46</v>
      </c>
      <c r="P1" s="44" t="s">
        <v>47</v>
      </c>
      <c r="Q1" s="44" t="s">
        <v>44</v>
      </c>
      <c r="R1" s="12"/>
      <c r="S1" s="12"/>
      <c r="T1" s="13"/>
      <c r="U1" s="13"/>
      <c r="V1" s="13"/>
      <c r="W1" s="13"/>
      <c r="X1" s="13"/>
      <c r="Y1" s="13"/>
      <c r="Z1" s="13"/>
      <c r="AA1" s="13"/>
      <c r="AB1" s="13"/>
    </row>
    <row r="2">
      <c r="A2" s="44" t="s">
        <v>367</v>
      </c>
      <c r="B2" s="44" t="s">
        <v>37</v>
      </c>
      <c r="C2" s="44" t="s">
        <v>2</v>
      </c>
      <c r="D2" s="44" t="s">
        <v>38</v>
      </c>
      <c r="E2" s="44" t="s">
        <v>382</v>
      </c>
      <c r="F2" s="44" t="s">
        <v>40</v>
      </c>
      <c r="G2" s="44" t="s">
        <v>3</v>
      </c>
      <c r="H2" s="44" t="s">
        <v>7</v>
      </c>
      <c r="I2" s="44" t="s">
        <v>246</v>
      </c>
      <c r="J2" s="44" t="s">
        <v>41</v>
      </c>
      <c r="K2" s="44" t="s">
        <v>368</v>
      </c>
      <c r="L2" s="44" t="s">
        <v>43</v>
      </c>
      <c r="M2" s="44" t="s">
        <v>44</v>
      </c>
      <c r="N2" s="44" t="s">
        <v>45</v>
      </c>
      <c r="O2" s="44" t="s">
        <v>46</v>
      </c>
      <c r="P2" s="44" t="s">
        <v>47</v>
      </c>
      <c r="Q2" s="44" t="s">
        <v>247</v>
      </c>
      <c r="R2" s="12" t="s">
        <v>333</v>
      </c>
      <c r="S2" s="12" t="s">
        <v>334</v>
      </c>
      <c r="T2" s="12" t="s">
        <v>335</v>
      </c>
      <c r="U2" s="12" t="s">
        <v>336</v>
      </c>
      <c r="V2" s="12" t="s">
        <v>337</v>
      </c>
    </row>
    <row r="3">
      <c r="A3" s="116">
        <v>100.0</v>
      </c>
      <c r="B3" s="117" t="s">
        <v>9</v>
      </c>
      <c r="C3" s="118">
        <v>700.0</v>
      </c>
      <c r="D3" s="116"/>
      <c r="E3" s="118"/>
      <c r="F3" s="119"/>
      <c r="G3" s="117" t="s">
        <v>8</v>
      </c>
      <c r="H3" s="119"/>
      <c r="I3" s="117" t="s">
        <v>266</v>
      </c>
      <c r="J3" s="118">
        <f>Sum(C3+E3)</f>
        <v>700</v>
      </c>
      <c r="K3" s="118">
        <v>700.0</v>
      </c>
      <c r="L3" s="118">
        <f t="shared" ref="L3:L11" si="1">SUM(J3-K3)</f>
        <v>0</v>
      </c>
      <c r="M3" s="117" t="s">
        <v>423</v>
      </c>
      <c r="N3" s="117"/>
      <c r="O3" s="117" t="s">
        <v>341</v>
      </c>
      <c r="P3" s="119"/>
      <c r="Q3" s="120">
        <v>45855.0</v>
      </c>
      <c r="R3" s="117">
        <v>8510.0</v>
      </c>
      <c r="S3" s="120"/>
      <c r="T3" s="119"/>
      <c r="U3" s="120"/>
      <c r="V3" s="119"/>
      <c r="W3" s="119"/>
      <c r="X3" s="119"/>
      <c r="Y3" s="119"/>
      <c r="Z3" s="119"/>
      <c r="AA3" s="119"/>
      <c r="AB3" s="119"/>
    </row>
    <row r="4">
      <c r="A4" s="116">
        <v>101.0</v>
      </c>
      <c r="B4" s="117" t="s">
        <v>10</v>
      </c>
      <c r="C4" s="118">
        <v>700.0</v>
      </c>
      <c r="D4" s="116"/>
      <c r="E4" s="121"/>
      <c r="F4" s="119"/>
      <c r="G4" s="117" t="s">
        <v>8</v>
      </c>
      <c r="H4" s="119"/>
      <c r="I4" s="117" t="s">
        <v>253</v>
      </c>
      <c r="J4" s="118">
        <f t="shared" ref="J4:J5" si="2">sum(C4+E4)</f>
        <v>700</v>
      </c>
      <c r="K4" s="118">
        <v>700.0</v>
      </c>
      <c r="L4" s="118">
        <f t="shared" si="1"/>
        <v>0</v>
      </c>
      <c r="M4" s="134">
        <v>46097.0</v>
      </c>
      <c r="N4" s="117" t="s">
        <v>463</v>
      </c>
      <c r="O4" s="117" t="s">
        <v>140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</row>
    <row r="5">
      <c r="A5" s="116">
        <v>102.0</v>
      </c>
      <c r="B5" s="117" t="s">
        <v>464</v>
      </c>
      <c r="C5" s="118">
        <v>700.0</v>
      </c>
      <c r="D5" s="116"/>
      <c r="E5" s="118">
        <v>-525.0</v>
      </c>
      <c r="F5" s="119"/>
      <c r="G5" s="117" t="s">
        <v>8</v>
      </c>
      <c r="H5" s="117"/>
      <c r="I5" s="117" t="s">
        <v>253</v>
      </c>
      <c r="J5" s="118">
        <f t="shared" si="2"/>
        <v>175</v>
      </c>
      <c r="K5" s="118">
        <v>175.0</v>
      </c>
      <c r="L5" s="118">
        <f t="shared" si="1"/>
        <v>0</v>
      </c>
      <c r="M5" s="117" t="s">
        <v>465</v>
      </c>
      <c r="N5" s="117" t="s">
        <v>466</v>
      </c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</row>
    <row r="6">
      <c r="A6" s="116">
        <v>103.0</v>
      </c>
      <c r="B6" s="117" t="s">
        <v>13</v>
      </c>
      <c r="C6" s="118">
        <v>700.0</v>
      </c>
      <c r="D6" s="116"/>
      <c r="E6" s="121"/>
      <c r="F6" s="119"/>
      <c r="G6" s="117" t="s">
        <v>8</v>
      </c>
      <c r="H6" s="119"/>
      <c r="I6" s="117" t="s">
        <v>253</v>
      </c>
      <c r="J6" s="118">
        <f>Sum(C6+E6)</f>
        <v>700</v>
      </c>
      <c r="K6" s="118"/>
      <c r="L6" s="118">
        <f t="shared" si="1"/>
        <v>700</v>
      </c>
      <c r="M6" s="120"/>
      <c r="N6" s="119"/>
      <c r="O6" s="119"/>
      <c r="P6" s="119"/>
      <c r="Q6" s="120"/>
      <c r="R6" s="119"/>
      <c r="S6" s="120"/>
      <c r="T6" s="119"/>
      <c r="U6" s="119"/>
      <c r="V6" s="119"/>
      <c r="W6" s="119"/>
      <c r="X6" s="119"/>
      <c r="Y6" s="119"/>
      <c r="Z6" s="119"/>
      <c r="AA6" s="119"/>
      <c r="AB6" s="119"/>
    </row>
    <row r="7">
      <c r="A7" s="116">
        <v>104.0</v>
      </c>
      <c r="B7" s="117" t="s">
        <v>14</v>
      </c>
      <c r="C7" s="118">
        <v>700.0</v>
      </c>
      <c r="D7" s="116"/>
      <c r="E7" s="118"/>
      <c r="F7" s="117"/>
      <c r="G7" s="117" t="s">
        <v>8</v>
      </c>
      <c r="H7" s="119"/>
      <c r="I7" s="117" t="s">
        <v>253</v>
      </c>
      <c r="J7" s="118">
        <f t="shared" ref="J7:J26" si="3">sum(C7+E7)</f>
        <v>700</v>
      </c>
      <c r="K7" s="118">
        <v>700.0</v>
      </c>
      <c r="L7" s="118">
        <f t="shared" si="1"/>
        <v>0</v>
      </c>
      <c r="M7" s="120">
        <v>46084.0</v>
      </c>
      <c r="N7" s="117" t="s">
        <v>467</v>
      </c>
      <c r="O7" s="117" t="s">
        <v>80</v>
      </c>
      <c r="P7" s="117"/>
      <c r="Q7" s="122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</row>
    <row r="8">
      <c r="A8" s="116">
        <v>105.0</v>
      </c>
      <c r="B8" s="117" t="s">
        <v>15</v>
      </c>
      <c r="C8" s="118">
        <v>700.0</v>
      </c>
      <c r="D8" s="116"/>
      <c r="E8" s="118"/>
      <c r="F8" s="119"/>
      <c r="G8" s="117" t="s">
        <v>8</v>
      </c>
      <c r="H8" s="117"/>
      <c r="I8" s="117" t="s">
        <v>249</v>
      </c>
      <c r="J8" s="118">
        <f t="shared" si="3"/>
        <v>700</v>
      </c>
      <c r="K8" s="118">
        <v>700.0</v>
      </c>
      <c r="L8" s="118">
        <f t="shared" si="1"/>
        <v>0</v>
      </c>
      <c r="M8" s="120"/>
      <c r="N8" s="119"/>
      <c r="O8" s="117" t="s">
        <v>140</v>
      </c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</row>
    <row r="9">
      <c r="A9" s="60">
        <v>106.0</v>
      </c>
      <c r="B9" s="14" t="s">
        <v>468</v>
      </c>
      <c r="C9" s="61">
        <v>700.0</v>
      </c>
      <c r="D9" s="15"/>
      <c r="E9" s="61">
        <v>1050.0</v>
      </c>
      <c r="F9" s="15"/>
      <c r="G9" s="14" t="s">
        <v>8</v>
      </c>
      <c r="H9" s="15"/>
      <c r="I9" s="14" t="s">
        <v>249</v>
      </c>
      <c r="J9" s="61">
        <f t="shared" si="3"/>
        <v>1750</v>
      </c>
      <c r="K9" s="61"/>
      <c r="L9" s="61">
        <f t="shared" si="1"/>
        <v>1750</v>
      </c>
      <c r="M9" s="15"/>
      <c r="N9" s="15"/>
      <c r="O9" s="15"/>
      <c r="P9" s="14" t="s">
        <v>364</v>
      </c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82">
        <v>107.0</v>
      </c>
      <c r="B10" s="85"/>
      <c r="C10" s="84"/>
      <c r="D10" s="85"/>
      <c r="E10" s="84"/>
      <c r="F10" s="85"/>
      <c r="G10" s="83" t="s">
        <v>11</v>
      </c>
      <c r="H10" s="85"/>
      <c r="I10" s="85"/>
      <c r="J10" s="96">
        <f t="shared" si="3"/>
        <v>0</v>
      </c>
      <c r="K10" s="96"/>
      <c r="L10" s="84">
        <f t="shared" si="1"/>
        <v>0</v>
      </c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</row>
    <row r="11">
      <c r="A11" s="82">
        <v>108.0</v>
      </c>
      <c r="B11" s="85"/>
      <c r="C11" s="84"/>
      <c r="D11" s="85"/>
      <c r="E11" s="84"/>
      <c r="F11" s="85"/>
      <c r="G11" s="83" t="s">
        <v>11</v>
      </c>
      <c r="H11" s="85"/>
      <c r="I11" s="85"/>
      <c r="J11" s="96">
        <f t="shared" si="3"/>
        <v>0</v>
      </c>
      <c r="K11" s="84"/>
      <c r="L11" s="84">
        <f t="shared" si="1"/>
        <v>0</v>
      </c>
      <c r="M11" s="93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</row>
    <row r="12">
      <c r="A12" s="116">
        <v>109.0</v>
      </c>
      <c r="B12" s="117" t="s">
        <v>392</v>
      </c>
      <c r="C12" s="118">
        <v>640.0</v>
      </c>
      <c r="D12" s="116"/>
      <c r="E12" s="121"/>
      <c r="F12" s="119"/>
      <c r="G12" s="117" t="s">
        <v>8</v>
      </c>
      <c r="H12" s="119"/>
      <c r="I12" s="117" t="s">
        <v>249</v>
      </c>
      <c r="J12" s="118">
        <f t="shared" si="3"/>
        <v>640</v>
      </c>
      <c r="K12" s="118">
        <v>600.0</v>
      </c>
      <c r="L12" s="118">
        <f>sum(J12-K12)</f>
        <v>40</v>
      </c>
      <c r="M12" s="117" t="s">
        <v>469</v>
      </c>
      <c r="N12" s="117" t="s">
        <v>470</v>
      </c>
      <c r="O12" s="119"/>
      <c r="P12" s="119"/>
      <c r="Q12" s="120">
        <v>45870.0</v>
      </c>
      <c r="R12" s="117">
        <v>8527.0</v>
      </c>
      <c r="S12" s="120">
        <v>45876.0</v>
      </c>
      <c r="T12" s="117">
        <v>8542.0</v>
      </c>
      <c r="U12" s="120"/>
      <c r="V12" s="117">
        <v>8512.0</v>
      </c>
      <c r="W12" s="119"/>
      <c r="X12" s="119"/>
      <c r="Y12" s="119"/>
      <c r="Z12" s="119"/>
      <c r="AA12" s="119"/>
      <c r="AB12" s="119"/>
    </row>
    <row r="13">
      <c r="A13" s="136">
        <v>110.0</v>
      </c>
      <c r="B13" s="137"/>
      <c r="C13" s="138">
        <v>600.0</v>
      </c>
      <c r="D13" s="137"/>
      <c r="E13" s="138"/>
      <c r="F13" s="139"/>
      <c r="G13" s="137" t="s">
        <v>8</v>
      </c>
      <c r="H13" s="139"/>
      <c r="I13" s="137" t="s">
        <v>249</v>
      </c>
      <c r="J13" s="138">
        <f t="shared" si="3"/>
        <v>600</v>
      </c>
      <c r="K13" s="138"/>
      <c r="L13" s="138">
        <f t="shared" ref="L13:L14" si="4">SUM(J13-K13)</f>
        <v>600</v>
      </c>
      <c r="M13" s="140"/>
      <c r="N13" s="137"/>
      <c r="O13" s="137" t="s">
        <v>140</v>
      </c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</row>
    <row r="14">
      <c r="A14" s="116">
        <v>111.0</v>
      </c>
      <c r="B14" s="117" t="s">
        <v>19</v>
      </c>
      <c r="C14" s="118">
        <v>640.0</v>
      </c>
      <c r="D14" s="116"/>
      <c r="E14" s="121"/>
      <c r="F14" s="119"/>
      <c r="G14" s="117" t="s">
        <v>8</v>
      </c>
      <c r="H14" s="119"/>
      <c r="I14" s="117" t="s">
        <v>253</v>
      </c>
      <c r="J14" s="118">
        <f t="shared" si="3"/>
        <v>640</v>
      </c>
      <c r="K14" s="118">
        <v>410.0</v>
      </c>
      <c r="L14" s="118">
        <f t="shared" si="4"/>
        <v>230</v>
      </c>
      <c r="M14" s="117" t="s">
        <v>471</v>
      </c>
      <c r="N14" s="117" t="s">
        <v>472</v>
      </c>
      <c r="O14" s="117" t="s">
        <v>140</v>
      </c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</row>
    <row r="15">
      <c r="A15" s="116">
        <v>112.0</v>
      </c>
      <c r="B15" s="117" t="s">
        <v>397</v>
      </c>
      <c r="C15" s="118">
        <v>600.0</v>
      </c>
      <c r="D15" s="116"/>
      <c r="E15" s="118"/>
      <c r="F15" s="119"/>
      <c r="G15" s="117" t="s">
        <v>11</v>
      </c>
      <c r="H15" s="119"/>
      <c r="I15" s="117" t="s">
        <v>249</v>
      </c>
      <c r="J15" s="118">
        <f t="shared" si="3"/>
        <v>600</v>
      </c>
      <c r="K15" s="118"/>
      <c r="L15" s="118">
        <f t="shared" ref="L15:L17" si="5">sum(J15-K15)</f>
        <v>600</v>
      </c>
      <c r="M15" s="120"/>
      <c r="N15" s="117"/>
      <c r="O15" s="117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</row>
    <row r="16">
      <c r="A16" s="116">
        <v>113.0</v>
      </c>
      <c r="B16" s="117" t="s">
        <v>21</v>
      </c>
      <c r="C16" s="118">
        <v>640.0</v>
      </c>
      <c r="D16" s="116"/>
      <c r="E16" s="118">
        <v>-150.0</v>
      </c>
      <c r="F16" s="117" t="s">
        <v>378</v>
      </c>
      <c r="G16" s="117" t="s">
        <v>8</v>
      </c>
      <c r="H16" s="119"/>
      <c r="I16" s="117" t="s">
        <v>253</v>
      </c>
      <c r="J16" s="118">
        <f t="shared" si="3"/>
        <v>490</v>
      </c>
      <c r="K16" s="118"/>
      <c r="L16" s="118">
        <f t="shared" si="5"/>
        <v>490</v>
      </c>
      <c r="M16" s="135"/>
      <c r="N16" s="117"/>
      <c r="O16" s="117" t="s">
        <v>69</v>
      </c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</row>
    <row r="17">
      <c r="A17" s="82">
        <v>114.0</v>
      </c>
      <c r="B17" s="85"/>
      <c r="C17" s="84"/>
      <c r="D17" s="82"/>
      <c r="E17" s="84"/>
      <c r="F17" s="85"/>
      <c r="G17" s="83" t="s">
        <v>11</v>
      </c>
      <c r="H17" s="85"/>
      <c r="I17" s="83" t="s">
        <v>249</v>
      </c>
      <c r="J17" s="84">
        <f t="shared" si="3"/>
        <v>0</v>
      </c>
      <c r="K17" s="84"/>
      <c r="L17" s="84">
        <f t="shared" si="5"/>
        <v>0</v>
      </c>
      <c r="M17" s="93"/>
      <c r="N17" s="83"/>
      <c r="O17" s="83" t="s">
        <v>69</v>
      </c>
      <c r="P17" s="85"/>
      <c r="Q17" s="86">
        <v>45849.0</v>
      </c>
      <c r="R17" s="83">
        <v>8506.0</v>
      </c>
      <c r="S17" s="86"/>
      <c r="T17" s="85"/>
      <c r="U17" s="85"/>
      <c r="V17" s="85"/>
      <c r="W17" s="85"/>
      <c r="X17" s="85"/>
      <c r="Y17" s="85"/>
      <c r="Z17" s="85"/>
      <c r="AA17" s="85"/>
      <c r="AB17" s="85"/>
    </row>
    <row r="18">
      <c r="A18" s="82">
        <v>215.0</v>
      </c>
      <c r="B18" s="83" t="s">
        <v>473</v>
      </c>
      <c r="C18" s="84"/>
      <c r="D18" s="82"/>
      <c r="E18" s="84"/>
      <c r="F18" s="85"/>
      <c r="G18" s="83" t="s">
        <v>11</v>
      </c>
      <c r="H18" s="85"/>
      <c r="I18" s="83"/>
      <c r="J18" s="84">
        <f t="shared" si="3"/>
        <v>0</v>
      </c>
      <c r="K18" s="84">
        <v>50.0</v>
      </c>
      <c r="L18" s="84">
        <f>SUM(J18-K18)</f>
        <v>-50</v>
      </c>
      <c r="M18" s="86">
        <v>46111.0</v>
      </c>
      <c r="N18" s="83" t="s">
        <v>474</v>
      </c>
      <c r="O18" s="83"/>
      <c r="P18" s="85"/>
      <c r="Q18" s="86">
        <v>45849.0</v>
      </c>
      <c r="R18" s="83">
        <v>8504.0</v>
      </c>
      <c r="S18" s="85"/>
      <c r="T18" s="85"/>
      <c r="U18" s="85"/>
      <c r="V18" s="85"/>
      <c r="W18" s="85"/>
      <c r="X18" s="85"/>
      <c r="Y18" s="85"/>
      <c r="Z18" s="85"/>
      <c r="AA18" s="85"/>
      <c r="AB18" s="85"/>
    </row>
    <row r="19">
      <c r="A19" s="116">
        <v>216.0</v>
      </c>
      <c r="B19" s="117" t="s">
        <v>22</v>
      </c>
      <c r="C19" s="118">
        <v>640.0</v>
      </c>
      <c r="D19" s="116"/>
      <c r="E19" s="121"/>
      <c r="F19" s="119"/>
      <c r="G19" s="117" t="s">
        <v>8</v>
      </c>
      <c r="H19" s="119"/>
      <c r="I19" s="117" t="s">
        <v>249</v>
      </c>
      <c r="J19" s="118">
        <f t="shared" si="3"/>
        <v>640</v>
      </c>
      <c r="K19" s="118">
        <v>480.0</v>
      </c>
      <c r="L19" s="118">
        <f>sum(J19-K19)</f>
        <v>160</v>
      </c>
      <c r="M19" s="117" t="s">
        <v>475</v>
      </c>
      <c r="N19" s="117" t="s">
        <v>476</v>
      </c>
      <c r="O19" s="117" t="s">
        <v>140</v>
      </c>
      <c r="P19" s="119"/>
      <c r="Q19" s="120">
        <v>45870.0</v>
      </c>
      <c r="R19" s="117">
        <v>8531.0</v>
      </c>
      <c r="S19" s="120"/>
      <c r="T19" s="119"/>
      <c r="U19" s="120"/>
      <c r="V19" s="119"/>
      <c r="W19" s="119"/>
      <c r="X19" s="119"/>
      <c r="Y19" s="119"/>
      <c r="Z19" s="119"/>
      <c r="AA19" s="119"/>
      <c r="AB19" s="119"/>
    </row>
    <row r="20">
      <c r="A20" s="127">
        <v>217.0</v>
      </c>
      <c r="B20" s="117" t="s">
        <v>477</v>
      </c>
      <c r="C20" s="128">
        <v>700.0</v>
      </c>
      <c r="D20" s="127"/>
      <c r="E20" s="128">
        <v>-350.0</v>
      </c>
      <c r="F20" s="129"/>
      <c r="G20" s="130" t="s">
        <v>8</v>
      </c>
      <c r="H20" s="129"/>
      <c r="I20" s="130"/>
      <c r="J20" s="128">
        <f t="shared" si="3"/>
        <v>350</v>
      </c>
      <c r="K20" s="128">
        <v>350.0</v>
      </c>
      <c r="L20" s="128">
        <f t="shared" ref="L20:L21" si="6">SUM(J20-K20)</f>
        <v>0</v>
      </c>
      <c r="M20" s="130" t="s">
        <v>469</v>
      </c>
      <c r="N20" s="130" t="s">
        <v>478</v>
      </c>
      <c r="O20" s="130" t="s">
        <v>140</v>
      </c>
      <c r="P20" s="129"/>
      <c r="Q20" s="129"/>
      <c r="R20" s="129"/>
      <c r="S20" s="129"/>
      <c r="T20" s="129"/>
      <c r="U20" s="129"/>
      <c r="V20" s="129"/>
      <c r="W20" s="119"/>
      <c r="X20" s="119"/>
      <c r="Y20" s="119"/>
      <c r="Z20" s="119"/>
      <c r="AA20" s="119"/>
      <c r="AB20" s="119"/>
    </row>
    <row r="21">
      <c r="A21" s="82">
        <v>218.0</v>
      </c>
      <c r="B21" s="85"/>
      <c r="C21" s="84"/>
      <c r="D21" s="82"/>
      <c r="E21" s="84"/>
      <c r="F21" s="83"/>
      <c r="G21" s="83" t="s">
        <v>11</v>
      </c>
      <c r="H21" s="83"/>
      <c r="I21" s="83"/>
      <c r="J21" s="84">
        <f t="shared" si="3"/>
        <v>0</v>
      </c>
      <c r="K21" s="84"/>
      <c r="L21" s="84">
        <f t="shared" si="6"/>
        <v>0</v>
      </c>
      <c r="M21" s="93"/>
      <c r="N21" s="85"/>
      <c r="O21" s="85"/>
      <c r="P21" s="83"/>
      <c r="Q21" s="94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</row>
    <row r="22">
      <c r="A22" s="82">
        <v>219.0</v>
      </c>
      <c r="B22" s="83" t="s">
        <v>479</v>
      </c>
      <c r="C22" s="84"/>
      <c r="D22" s="82"/>
      <c r="E22" s="84"/>
      <c r="F22" s="85"/>
      <c r="G22" s="83" t="s">
        <v>11</v>
      </c>
      <c r="H22" s="85"/>
      <c r="I22" s="83" t="s">
        <v>266</v>
      </c>
      <c r="J22" s="84">
        <f t="shared" si="3"/>
        <v>0</v>
      </c>
      <c r="K22" s="84">
        <v>250.0</v>
      </c>
      <c r="L22" s="84">
        <f>sum(J22-K22)</f>
        <v>-250</v>
      </c>
      <c r="M22" s="86">
        <v>46111.0</v>
      </c>
      <c r="N22" s="83" t="s">
        <v>480</v>
      </c>
      <c r="O22" s="83" t="s">
        <v>80</v>
      </c>
      <c r="P22" s="85"/>
      <c r="Q22" s="86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</row>
    <row r="23">
      <c r="A23" s="116">
        <v>220.0</v>
      </c>
      <c r="B23" s="117" t="s">
        <v>447</v>
      </c>
      <c r="C23" s="118">
        <v>700.0</v>
      </c>
      <c r="D23" s="116"/>
      <c r="E23" s="118"/>
      <c r="F23" s="119"/>
      <c r="G23" s="117" t="s">
        <v>8</v>
      </c>
      <c r="H23" s="119"/>
      <c r="I23" s="117" t="s">
        <v>249</v>
      </c>
      <c r="J23" s="118">
        <f t="shared" si="3"/>
        <v>700</v>
      </c>
      <c r="K23" s="118">
        <v>175.0</v>
      </c>
      <c r="L23" s="118">
        <f t="shared" ref="L23:L27" si="7">SUM(J23-K23)</f>
        <v>525</v>
      </c>
      <c r="M23" s="141">
        <v>46096.0</v>
      </c>
      <c r="N23" s="117" t="s">
        <v>481</v>
      </c>
      <c r="O23" s="117" t="s">
        <v>140</v>
      </c>
      <c r="P23" s="119"/>
      <c r="Q23" s="120">
        <v>45877.0</v>
      </c>
      <c r="R23" s="117">
        <v>8547.0</v>
      </c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>
      <c r="A24" s="116">
        <v>221.0</v>
      </c>
      <c r="B24" s="117" t="s">
        <v>482</v>
      </c>
      <c r="C24" s="118">
        <v>700.0</v>
      </c>
      <c r="D24" s="116"/>
      <c r="E24" s="118"/>
      <c r="F24" s="119"/>
      <c r="G24" s="117" t="s">
        <v>8</v>
      </c>
      <c r="H24" s="119"/>
      <c r="I24" s="117" t="s">
        <v>253</v>
      </c>
      <c r="J24" s="118">
        <f t="shared" si="3"/>
        <v>700</v>
      </c>
      <c r="K24" s="118">
        <v>675.0</v>
      </c>
      <c r="L24" s="118">
        <f t="shared" si="7"/>
        <v>25</v>
      </c>
      <c r="M24" s="117" t="s">
        <v>483</v>
      </c>
      <c r="N24" s="117" t="s">
        <v>484</v>
      </c>
      <c r="O24" s="117" t="s">
        <v>140</v>
      </c>
      <c r="P24" s="119"/>
      <c r="Q24" s="120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>
      <c r="A25" s="136">
        <v>222.0</v>
      </c>
      <c r="B25" s="137"/>
      <c r="C25" s="138">
        <v>700.0</v>
      </c>
      <c r="D25" s="139"/>
      <c r="E25" s="138"/>
      <c r="F25" s="139"/>
      <c r="G25" s="137" t="s">
        <v>11</v>
      </c>
      <c r="H25" s="139"/>
      <c r="I25" s="137"/>
      <c r="J25" s="138">
        <f t="shared" si="3"/>
        <v>700</v>
      </c>
      <c r="K25" s="138"/>
      <c r="L25" s="138">
        <f t="shared" si="7"/>
        <v>700</v>
      </c>
      <c r="M25" s="139"/>
      <c r="N25" s="139"/>
      <c r="O25" s="139"/>
      <c r="P25" s="139"/>
      <c r="Q25" s="140"/>
      <c r="R25" s="139"/>
      <c r="S25" s="140"/>
      <c r="T25" s="139"/>
      <c r="U25" s="139"/>
      <c r="V25" s="139"/>
      <c r="W25" s="139"/>
      <c r="X25" s="139"/>
      <c r="Y25" s="139"/>
      <c r="Z25" s="139"/>
      <c r="AA25" s="139"/>
      <c r="AB25" s="139"/>
    </row>
    <row r="26">
      <c r="A26" s="82">
        <v>223.0</v>
      </c>
      <c r="B26" s="85"/>
      <c r="C26" s="84"/>
      <c r="D26" s="85"/>
      <c r="E26" s="84"/>
      <c r="F26" s="85"/>
      <c r="G26" s="83" t="s">
        <v>11</v>
      </c>
      <c r="H26" s="85"/>
      <c r="I26" s="85"/>
      <c r="J26" s="96">
        <f t="shared" si="3"/>
        <v>0</v>
      </c>
      <c r="K26" s="96"/>
      <c r="L26" s="84">
        <f t="shared" si="7"/>
        <v>0</v>
      </c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</row>
    <row r="27">
      <c r="A27" s="82">
        <v>224.0</v>
      </c>
      <c r="B27" s="85"/>
      <c r="C27" s="84"/>
      <c r="D27" s="85"/>
      <c r="E27" s="84"/>
      <c r="F27" s="85"/>
      <c r="G27" s="83" t="s">
        <v>11</v>
      </c>
      <c r="H27" s="85"/>
      <c r="I27" s="103"/>
      <c r="J27" s="96">
        <f>Sum(C27+E27)</f>
        <v>0</v>
      </c>
      <c r="K27" s="96"/>
      <c r="L27" s="84">
        <f t="shared" si="7"/>
        <v>0</v>
      </c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</row>
    <row r="28">
      <c r="A28" s="116">
        <v>225.0</v>
      </c>
      <c r="B28" s="117" t="s">
        <v>485</v>
      </c>
      <c r="C28" s="118">
        <v>640.0</v>
      </c>
      <c r="D28" s="116"/>
      <c r="E28" s="118"/>
      <c r="F28" s="119"/>
      <c r="G28" s="117" t="s">
        <v>11</v>
      </c>
      <c r="H28" s="119"/>
      <c r="I28" s="117" t="s">
        <v>249</v>
      </c>
      <c r="J28" s="118">
        <f t="shared" ref="J28:J33" si="8">sum(C28+E28)</f>
        <v>640</v>
      </c>
      <c r="K28" s="133">
        <v>160.0</v>
      </c>
      <c r="L28" s="118">
        <f>sum(J28-K28)</f>
        <v>480</v>
      </c>
      <c r="M28" s="135"/>
      <c r="N28" s="117"/>
      <c r="O28" s="117" t="s">
        <v>80</v>
      </c>
      <c r="P28" s="119"/>
      <c r="Q28" s="120">
        <v>45869.0</v>
      </c>
      <c r="R28" s="117">
        <v>8528.0</v>
      </c>
      <c r="S28" s="135">
        <v>45875.0</v>
      </c>
      <c r="T28" s="117">
        <v>8541.0</v>
      </c>
      <c r="U28" s="117" t="s">
        <v>366</v>
      </c>
      <c r="V28" s="119"/>
      <c r="W28" s="119"/>
      <c r="X28" s="119"/>
      <c r="Y28" s="119"/>
      <c r="Z28" s="119"/>
      <c r="AA28" s="119"/>
      <c r="AB28" s="119"/>
    </row>
    <row r="29">
      <c r="A29" s="116">
        <v>226.0</v>
      </c>
      <c r="B29" s="117" t="s">
        <v>486</v>
      </c>
      <c r="C29" s="118">
        <v>640.0</v>
      </c>
      <c r="D29" s="116"/>
      <c r="E29" s="118"/>
      <c r="F29" s="119"/>
      <c r="G29" s="117" t="s">
        <v>11</v>
      </c>
      <c r="H29" s="119"/>
      <c r="I29" s="117"/>
      <c r="J29" s="118">
        <f t="shared" si="8"/>
        <v>640</v>
      </c>
      <c r="K29" s="132">
        <v>160.0</v>
      </c>
      <c r="L29" s="118">
        <f t="shared" ref="L29:L33" si="9">SUM(J29-K29)</f>
        <v>480</v>
      </c>
      <c r="M29" s="135">
        <v>46095.0</v>
      </c>
      <c r="N29" s="117" t="s">
        <v>487</v>
      </c>
      <c r="O29" s="117" t="s">
        <v>140</v>
      </c>
      <c r="P29" s="119"/>
      <c r="Q29" s="120"/>
      <c r="R29" s="117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>
      <c r="A30" s="116">
        <v>227.0</v>
      </c>
      <c r="B30" s="117" t="s">
        <v>28</v>
      </c>
      <c r="C30" s="118">
        <v>640.0</v>
      </c>
      <c r="D30" s="116"/>
      <c r="E30" s="121"/>
      <c r="F30" s="119"/>
      <c r="G30" s="117" t="s">
        <v>11</v>
      </c>
      <c r="H30" s="119"/>
      <c r="I30" s="117" t="s">
        <v>253</v>
      </c>
      <c r="J30" s="118">
        <f t="shared" si="8"/>
        <v>640</v>
      </c>
      <c r="K30" s="132">
        <v>300.0</v>
      </c>
      <c r="L30" s="118">
        <f t="shared" si="9"/>
        <v>340</v>
      </c>
      <c r="M30" s="134"/>
      <c r="N30" s="117"/>
      <c r="O30" s="117" t="s">
        <v>140</v>
      </c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>
      <c r="A31" s="116">
        <v>228.0</v>
      </c>
      <c r="B31" s="117" t="s">
        <v>29</v>
      </c>
      <c r="C31" s="118">
        <v>640.0</v>
      </c>
      <c r="D31" s="116"/>
      <c r="E31" s="118"/>
      <c r="F31" s="119"/>
      <c r="G31" s="117" t="s">
        <v>8</v>
      </c>
      <c r="H31" s="119"/>
      <c r="I31" s="117" t="s">
        <v>266</v>
      </c>
      <c r="J31" s="118">
        <f t="shared" si="8"/>
        <v>640</v>
      </c>
      <c r="K31" s="133">
        <v>640.0</v>
      </c>
      <c r="L31" s="118">
        <f t="shared" si="9"/>
        <v>0</v>
      </c>
      <c r="M31" s="120"/>
      <c r="N31" s="117"/>
      <c r="O31" s="117" t="s">
        <v>341</v>
      </c>
      <c r="P31" s="119"/>
      <c r="Q31" s="120">
        <v>45877.0</v>
      </c>
      <c r="R31" s="117">
        <v>8545.0</v>
      </c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>
      <c r="A32" s="116">
        <v>229.0</v>
      </c>
      <c r="B32" s="117" t="s">
        <v>71</v>
      </c>
      <c r="C32" s="118">
        <v>640.0</v>
      </c>
      <c r="D32" s="116"/>
      <c r="E32" s="121"/>
      <c r="F32" s="119"/>
      <c r="G32" s="117" t="s">
        <v>8</v>
      </c>
      <c r="H32" s="119"/>
      <c r="I32" s="117" t="s">
        <v>326</v>
      </c>
      <c r="J32" s="118">
        <f t="shared" si="8"/>
        <v>640</v>
      </c>
      <c r="K32" s="132">
        <v>410.0</v>
      </c>
      <c r="L32" s="118">
        <f t="shared" si="9"/>
        <v>230</v>
      </c>
      <c r="M32" s="117" t="s">
        <v>488</v>
      </c>
      <c r="N32" s="117" t="s">
        <v>489</v>
      </c>
      <c r="O32" s="117" t="s">
        <v>140</v>
      </c>
      <c r="P32" s="119"/>
      <c r="Q32" s="120">
        <v>45877.0</v>
      </c>
      <c r="R32" s="117">
        <v>8544.0</v>
      </c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>
      <c r="A33" s="116">
        <v>230.0</v>
      </c>
      <c r="B33" s="117" t="s">
        <v>420</v>
      </c>
      <c r="C33" s="118">
        <v>640.0</v>
      </c>
      <c r="D33" s="116"/>
      <c r="E33" s="118"/>
      <c r="F33" s="119"/>
      <c r="G33" s="117" t="s">
        <v>8</v>
      </c>
      <c r="H33" s="119"/>
      <c r="I33" s="117" t="s">
        <v>249</v>
      </c>
      <c r="J33" s="118">
        <f t="shared" si="8"/>
        <v>640</v>
      </c>
      <c r="K33" s="133">
        <v>160.0</v>
      </c>
      <c r="L33" s="118">
        <f t="shared" si="9"/>
        <v>480</v>
      </c>
      <c r="M33" s="120">
        <v>46102.0</v>
      </c>
      <c r="N33" s="117" t="s">
        <v>490</v>
      </c>
      <c r="O33" s="117" t="s">
        <v>140</v>
      </c>
      <c r="P33" s="119"/>
      <c r="Q33" s="120">
        <v>45870.0</v>
      </c>
      <c r="R33" s="117">
        <v>8535.0</v>
      </c>
      <c r="S33" s="120"/>
      <c r="T33" s="119"/>
      <c r="U33" s="120"/>
      <c r="V33" s="119"/>
      <c r="W33" s="119"/>
      <c r="X33" s="119"/>
      <c r="Y33" s="119"/>
      <c r="Z33" s="119"/>
      <c r="AA33" s="119"/>
      <c r="AB33" s="119"/>
    </row>
    <row r="34">
      <c r="W34" s="17"/>
      <c r="X34" s="17"/>
      <c r="Y34" s="17"/>
      <c r="Z34" s="17"/>
      <c r="AA34" s="17"/>
      <c r="AB34" s="17"/>
    </row>
    <row r="35">
      <c r="A35" s="12" t="s">
        <v>197</v>
      </c>
      <c r="B35" s="17"/>
      <c r="C35" s="63">
        <f>SUM(C3:C33)</f>
        <v>15300</v>
      </c>
      <c r="D35" s="17"/>
      <c r="E35" s="63">
        <f>SUM(E3:E33)</f>
        <v>25</v>
      </c>
      <c r="F35" s="17"/>
      <c r="G35" s="17">
        <f t="array" ref="G35">COUNTIF(G3:G33,"y")</f>
        <v>18</v>
      </c>
      <c r="H35" s="17"/>
      <c r="I35" s="17"/>
      <c r="J35" s="63">
        <f t="shared" ref="J35:L35" si="10">SUM(J3:J33)</f>
        <v>15325</v>
      </c>
      <c r="K35" s="63">
        <f t="shared" si="10"/>
        <v>7795</v>
      </c>
      <c r="L35" s="63">
        <f t="shared" si="10"/>
        <v>7530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7">
      <c r="W37" s="19"/>
      <c r="X37" s="19"/>
      <c r="Y37" s="19"/>
      <c r="Z37" s="19"/>
      <c r="AA37" s="19"/>
      <c r="AB37" s="19"/>
    </row>
    <row r="38">
      <c r="A38" s="18" t="s">
        <v>34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21"/>
      <c r="X38" s="21"/>
      <c r="Y38" s="21"/>
      <c r="Z38" s="21"/>
      <c r="AA38" s="21"/>
      <c r="AB38" s="21"/>
    </row>
    <row r="39">
      <c r="A39" s="20" t="s">
        <v>198</v>
      </c>
      <c r="B39" s="20" t="s">
        <v>121</v>
      </c>
      <c r="C39" s="21"/>
      <c r="D39" s="20" t="s">
        <v>199</v>
      </c>
      <c r="E39" s="20">
        <v>1.0</v>
      </c>
      <c r="F39" s="20">
        <v>2.0</v>
      </c>
      <c r="G39" s="20">
        <v>3.0</v>
      </c>
      <c r="H39" s="20">
        <v>4.0</v>
      </c>
      <c r="I39" s="20"/>
      <c r="J39" s="20">
        <v>5.0</v>
      </c>
      <c r="K39" s="20">
        <v>6.0</v>
      </c>
      <c r="L39" s="20">
        <v>7.0</v>
      </c>
      <c r="M39" s="20">
        <v>8.0</v>
      </c>
      <c r="N39" s="20">
        <v>9.0</v>
      </c>
      <c r="O39" s="22" t="s">
        <v>200</v>
      </c>
      <c r="P39" s="21"/>
      <c r="Q39" s="21"/>
      <c r="R39" s="21"/>
      <c r="S39" s="21"/>
      <c r="T39" s="21"/>
      <c r="U39" s="21"/>
      <c r="V39" s="21"/>
    </row>
    <row r="40">
      <c r="A40" s="7" t="s">
        <v>122</v>
      </c>
      <c r="B40" s="42">
        <f>O49</f>
        <v>2000</v>
      </c>
      <c r="D40" s="7" t="s">
        <v>61</v>
      </c>
      <c r="E40" s="7">
        <v>500.0</v>
      </c>
      <c r="F40" s="7">
        <v>500.0</v>
      </c>
      <c r="G40" s="7">
        <v>500.0</v>
      </c>
      <c r="H40" s="7">
        <v>500.0</v>
      </c>
      <c r="O40" s="17">
        <f t="shared" ref="O40:O41" si="11">SUM(E40:N40)</f>
        <v>2000</v>
      </c>
    </row>
    <row r="41">
      <c r="A41" s="7" t="s">
        <v>123</v>
      </c>
      <c r="B41" s="42">
        <v>0.0</v>
      </c>
      <c r="D41" s="7" t="s">
        <v>477</v>
      </c>
      <c r="O41" s="17">
        <f t="shared" si="11"/>
        <v>0</v>
      </c>
    </row>
    <row r="42">
      <c r="A42" s="7" t="s">
        <v>127</v>
      </c>
      <c r="B42" s="42">
        <v>119.43</v>
      </c>
      <c r="D42" s="7" t="s">
        <v>462</v>
      </c>
      <c r="E42" s="7">
        <v>600.0</v>
      </c>
      <c r="F42" s="7">
        <v>600.0</v>
      </c>
      <c r="G42" s="7">
        <v>600.0</v>
      </c>
      <c r="H42" s="7">
        <v>600.0</v>
      </c>
      <c r="O42" s="17"/>
    </row>
    <row r="43">
      <c r="A43" s="7" t="s">
        <v>124</v>
      </c>
      <c r="B43" s="42">
        <v>2029.19</v>
      </c>
      <c r="D43" s="7" t="s">
        <v>297</v>
      </c>
      <c r="O43" s="17">
        <f t="shared" ref="O43:O48" si="12">SUM(E43:N43)</f>
        <v>0</v>
      </c>
    </row>
    <row r="44">
      <c r="A44" s="7" t="s">
        <v>125</v>
      </c>
      <c r="B44" s="42">
        <v>170.5</v>
      </c>
      <c r="O44" s="17">
        <f t="shared" si="12"/>
        <v>0</v>
      </c>
    </row>
    <row r="45">
      <c r="A45" s="7" t="s">
        <v>126</v>
      </c>
      <c r="B45" s="42">
        <v>364.44</v>
      </c>
      <c r="O45" s="17">
        <f t="shared" si="12"/>
        <v>0</v>
      </c>
    </row>
    <row r="46">
      <c r="A46" s="7" t="s">
        <v>128</v>
      </c>
      <c r="B46" s="42">
        <v>918.21</v>
      </c>
      <c r="O46" s="17">
        <f t="shared" si="12"/>
        <v>0</v>
      </c>
    </row>
    <row r="47">
      <c r="A47" s="7" t="s">
        <v>129</v>
      </c>
      <c r="B47" s="42">
        <v>1000.0</v>
      </c>
      <c r="D47" s="7"/>
      <c r="O47" s="17">
        <f t="shared" si="12"/>
        <v>0</v>
      </c>
    </row>
    <row r="48">
      <c r="A48" s="7" t="s">
        <v>207</v>
      </c>
      <c r="B48" s="42">
        <v>828.78</v>
      </c>
      <c r="D48" s="7"/>
      <c r="E48" s="7"/>
      <c r="F48" s="7"/>
      <c r="G48" s="7"/>
      <c r="H48" s="7"/>
      <c r="J48" s="7"/>
      <c r="K48" s="7"/>
      <c r="O48" s="17">
        <f t="shared" si="12"/>
        <v>0</v>
      </c>
    </row>
    <row r="49">
      <c r="A49" s="7" t="s">
        <v>381</v>
      </c>
      <c r="B49" s="43" t="str">
        <f>E80</f>
        <v/>
      </c>
      <c r="O49" s="17">
        <f>SUM(O40:O48)</f>
        <v>2000</v>
      </c>
    </row>
    <row r="50">
      <c r="B50" s="43"/>
      <c r="W50" s="17"/>
      <c r="X50" s="17"/>
      <c r="Y50" s="17"/>
      <c r="Z50" s="17"/>
      <c r="AA50" s="17"/>
      <c r="AB50" s="17"/>
    </row>
    <row r="51">
      <c r="A51" s="7" t="s">
        <v>200</v>
      </c>
      <c r="B51" s="43">
        <f>SUM(B40:B49)</f>
        <v>7430.55</v>
      </c>
    </row>
    <row r="52">
      <c r="A52" s="17"/>
      <c r="B52" s="17"/>
      <c r="C52" s="17"/>
      <c r="D52" s="22" t="s">
        <v>209</v>
      </c>
      <c r="E52" s="22" t="s">
        <v>121</v>
      </c>
      <c r="F52" s="22" t="s">
        <v>210</v>
      </c>
      <c r="G52" s="22" t="s">
        <v>211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</row>
    <row r="53">
      <c r="B53" s="7" t="s">
        <v>347</v>
      </c>
      <c r="C53" s="7" t="s">
        <v>348</v>
      </c>
    </row>
    <row r="54">
      <c r="A54" s="7" t="s">
        <v>214</v>
      </c>
      <c r="B54" s="42">
        <f t="shared" ref="B54:C54" si="13">J35</f>
        <v>15325</v>
      </c>
      <c r="C54" s="42">
        <f t="shared" si="13"/>
        <v>7795</v>
      </c>
      <c r="E54" s="42"/>
    </row>
    <row r="55">
      <c r="A55" s="7" t="s">
        <v>217</v>
      </c>
      <c r="B55" s="43">
        <f>B51</f>
        <v>7430.55</v>
      </c>
      <c r="C55" s="43">
        <f>B51</f>
        <v>7430.55</v>
      </c>
      <c r="E55" s="42"/>
    </row>
    <row r="56">
      <c r="E56" s="42"/>
    </row>
    <row r="57">
      <c r="A57" s="44" t="s">
        <v>221</v>
      </c>
      <c r="B57" s="74">
        <f>B54-B55</f>
        <v>7894.45</v>
      </c>
      <c r="C57" s="74">
        <f>SUM(C54-C55)</f>
        <v>364.45</v>
      </c>
      <c r="D57" s="75"/>
      <c r="E57" s="42"/>
    </row>
    <row r="58">
      <c r="E58" s="43"/>
    </row>
    <row r="59">
      <c r="A59" s="7" t="s">
        <v>361</v>
      </c>
      <c r="E59" s="43"/>
    </row>
    <row r="60">
      <c r="E60" s="43"/>
    </row>
    <row r="61">
      <c r="E61" s="43"/>
    </row>
    <row r="62">
      <c r="E62" s="43"/>
    </row>
    <row r="63">
      <c r="E63" s="42"/>
    </row>
    <row r="64">
      <c r="E64" s="42"/>
    </row>
    <row r="65">
      <c r="E65" s="42"/>
    </row>
    <row r="66">
      <c r="E66" s="43"/>
    </row>
    <row r="67">
      <c r="E67" s="43"/>
    </row>
    <row r="68">
      <c r="E68" s="43"/>
    </row>
    <row r="69">
      <c r="E69" s="43"/>
    </row>
    <row r="70">
      <c r="E70" s="43"/>
    </row>
    <row r="71">
      <c r="E71" s="43"/>
    </row>
    <row r="72">
      <c r="E72" s="43"/>
    </row>
    <row r="73">
      <c r="E73" s="43"/>
    </row>
    <row r="74">
      <c r="E74" s="43"/>
    </row>
    <row r="75">
      <c r="E75" s="43"/>
    </row>
    <row r="76">
      <c r="D76" s="7"/>
      <c r="E76" s="43"/>
    </row>
    <row r="77">
      <c r="D77" s="7"/>
      <c r="E77" s="43"/>
    </row>
    <row r="78">
      <c r="D78" s="7" t="s">
        <v>200</v>
      </c>
      <c r="E78" s="43">
        <f>SUM(E51:E74)</f>
        <v>0</v>
      </c>
    </row>
  </sheetData>
  <conditionalFormatting sqref="B1">
    <cfRule type="notContainsBlanks" dxfId="9" priority="1">
      <formula>LEN(TRIM(B1))&gt;0</formula>
    </cfRule>
  </conditionalFormatting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3.25"/>
    <col customWidth="1" min="2" max="2" width="26.13"/>
    <col customWidth="1" min="4" max="4" width="19.25"/>
    <col customWidth="1" min="5" max="5" width="17.63"/>
    <col customWidth="1" min="6" max="6" width="5.38"/>
    <col customWidth="1" min="7" max="7" width="8.88"/>
    <col customWidth="1" min="8" max="8" width="19.5"/>
    <col customWidth="1" min="9" max="9" width="18.88"/>
    <col customWidth="1" min="12" max="12" width="17.75"/>
    <col customWidth="1" min="13" max="13" width="14.75"/>
    <col customWidth="1" min="14" max="14" width="15.5"/>
    <col customWidth="1" min="15" max="15" width="16.75"/>
    <col customWidth="1" min="18" max="18" width="19.38"/>
    <col customWidth="1" min="19" max="19" width="17.25"/>
  </cols>
  <sheetData>
    <row r="1">
      <c r="A1" s="44" t="s">
        <v>36</v>
      </c>
      <c r="B1" s="44" t="s">
        <v>37</v>
      </c>
      <c r="C1" s="44" t="s">
        <v>2</v>
      </c>
      <c r="D1" s="44" t="s">
        <v>38</v>
      </c>
      <c r="E1" s="44" t="s">
        <v>39</v>
      </c>
      <c r="F1" s="44" t="s">
        <v>40</v>
      </c>
      <c r="G1" s="44" t="s">
        <v>3</v>
      </c>
      <c r="H1" s="44" t="s">
        <v>7</v>
      </c>
      <c r="I1" s="44" t="s">
        <v>246</v>
      </c>
      <c r="J1" s="44" t="s">
        <v>41</v>
      </c>
      <c r="K1" s="44" t="s">
        <v>42</v>
      </c>
      <c r="L1" s="44" t="s">
        <v>43</v>
      </c>
      <c r="M1" s="44" t="s">
        <v>44</v>
      </c>
      <c r="N1" s="44"/>
      <c r="O1" s="44" t="s">
        <v>46</v>
      </c>
      <c r="P1" s="44" t="s">
        <v>47</v>
      </c>
      <c r="Q1" s="44" t="s">
        <v>44</v>
      </c>
      <c r="R1" s="12"/>
      <c r="S1" s="12"/>
      <c r="T1" s="13"/>
      <c r="U1" s="13"/>
      <c r="V1" s="13"/>
      <c r="W1" s="13"/>
      <c r="X1" s="13"/>
      <c r="Y1" s="13"/>
      <c r="Z1" s="13"/>
      <c r="AA1" s="13"/>
      <c r="AB1" s="13"/>
    </row>
    <row r="2">
      <c r="A2" s="44" t="s">
        <v>367</v>
      </c>
      <c r="B2" s="44" t="s">
        <v>37</v>
      </c>
      <c r="C2" s="44" t="s">
        <v>2</v>
      </c>
      <c r="D2" s="44" t="s">
        <v>38</v>
      </c>
      <c r="E2" s="44" t="s">
        <v>382</v>
      </c>
      <c r="F2" s="44" t="s">
        <v>40</v>
      </c>
      <c r="G2" s="44" t="s">
        <v>3</v>
      </c>
      <c r="H2" s="44" t="s">
        <v>7</v>
      </c>
      <c r="I2" s="44" t="s">
        <v>246</v>
      </c>
      <c r="J2" s="44" t="s">
        <v>41</v>
      </c>
      <c r="K2" s="44" t="s">
        <v>368</v>
      </c>
      <c r="L2" s="44" t="s">
        <v>43</v>
      </c>
      <c r="M2" s="44" t="s">
        <v>44</v>
      </c>
      <c r="N2" s="44" t="s">
        <v>45</v>
      </c>
      <c r="O2" s="44" t="s">
        <v>46</v>
      </c>
      <c r="P2" s="44" t="s">
        <v>47</v>
      </c>
      <c r="Q2" s="44" t="s">
        <v>247</v>
      </c>
      <c r="R2" s="12" t="s">
        <v>333</v>
      </c>
      <c r="S2" s="12" t="s">
        <v>334</v>
      </c>
      <c r="T2" s="12" t="s">
        <v>335</v>
      </c>
      <c r="U2" s="12" t="s">
        <v>336</v>
      </c>
      <c r="V2" s="12" t="s">
        <v>337</v>
      </c>
    </row>
    <row r="3">
      <c r="A3" s="116">
        <v>100.0</v>
      </c>
      <c r="B3" s="117" t="s">
        <v>9</v>
      </c>
      <c r="C3" s="118">
        <v>700.0</v>
      </c>
      <c r="D3" s="116"/>
      <c r="E3" s="118"/>
      <c r="F3" s="119"/>
      <c r="G3" s="117" t="s">
        <v>8</v>
      </c>
      <c r="H3" s="119"/>
      <c r="I3" s="117" t="s">
        <v>266</v>
      </c>
      <c r="J3" s="118">
        <f>Sum(C3+E3)</f>
        <v>700</v>
      </c>
      <c r="K3" s="118">
        <v>700.0</v>
      </c>
      <c r="L3" s="118">
        <f t="shared" ref="L3:L11" si="1">SUM(J3-K3)</f>
        <v>0</v>
      </c>
      <c r="M3" s="117" t="s">
        <v>423</v>
      </c>
      <c r="N3" s="117"/>
      <c r="O3" s="117" t="s">
        <v>341</v>
      </c>
      <c r="P3" s="119"/>
      <c r="Q3" s="120">
        <v>45855.0</v>
      </c>
      <c r="R3" s="117">
        <v>8510.0</v>
      </c>
      <c r="S3" s="120"/>
      <c r="T3" s="119"/>
      <c r="U3" s="120"/>
      <c r="V3" s="119"/>
      <c r="W3" s="119"/>
      <c r="X3" s="119"/>
      <c r="Y3" s="119"/>
      <c r="Z3" s="119"/>
      <c r="AA3" s="119"/>
      <c r="AB3" s="119"/>
    </row>
    <row r="4">
      <c r="A4" s="116">
        <v>101.0</v>
      </c>
      <c r="B4" s="117" t="s">
        <v>10</v>
      </c>
      <c r="C4" s="118">
        <v>700.0</v>
      </c>
      <c r="D4" s="116"/>
      <c r="E4" s="121"/>
      <c r="F4" s="119"/>
      <c r="G4" s="117" t="s">
        <v>8</v>
      </c>
      <c r="H4" s="119"/>
      <c r="I4" s="117" t="s">
        <v>253</v>
      </c>
      <c r="J4" s="118">
        <f t="shared" ref="J4:J5" si="2">sum(C4+E4)</f>
        <v>700</v>
      </c>
      <c r="K4" s="118">
        <v>525.0</v>
      </c>
      <c r="L4" s="118">
        <f t="shared" si="1"/>
        <v>175</v>
      </c>
      <c r="M4" s="117" t="s">
        <v>491</v>
      </c>
      <c r="N4" s="117" t="s">
        <v>492</v>
      </c>
      <c r="O4" s="117" t="s">
        <v>140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</row>
    <row r="5">
      <c r="A5" s="82">
        <v>102.0</v>
      </c>
      <c r="B5" s="83" t="s">
        <v>464</v>
      </c>
      <c r="C5" s="84">
        <v>700.0</v>
      </c>
      <c r="D5" s="82"/>
      <c r="E5" s="84"/>
      <c r="F5" s="85"/>
      <c r="G5" s="83" t="s">
        <v>8</v>
      </c>
      <c r="H5" s="83"/>
      <c r="I5" s="83" t="s">
        <v>253</v>
      </c>
      <c r="J5" s="84">
        <f t="shared" si="2"/>
        <v>700</v>
      </c>
      <c r="K5" s="84">
        <v>350.0</v>
      </c>
      <c r="L5" s="84">
        <f t="shared" si="1"/>
        <v>350</v>
      </c>
      <c r="M5" s="83" t="s">
        <v>493</v>
      </c>
      <c r="N5" s="83" t="s">
        <v>494</v>
      </c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</row>
    <row r="6">
      <c r="A6" s="116">
        <v>103.0</v>
      </c>
      <c r="B6" s="117" t="s">
        <v>13</v>
      </c>
      <c r="C6" s="118">
        <v>700.0</v>
      </c>
      <c r="D6" s="116"/>
      <c r="E6" s="121"/>
      <c r="F6" s="119"/>
      <c r="G6" s="117" t="s">
        <v>8</v>
      </c>
      <c r="H6" s="119"/>
      <c r="I6" s="117" t="s">
        <v>253</v>
      </c>
      <c r="J6" s="118">
        <f>Sum(C6+E6)</f>
        <v>700</v>
      </c>
      <c r="K6" s="118"/>
      <c r="L6" s="118">
        <f t="shared" si="1"/>
        <v>700</v>
      </c>
      <c r="M6" s="120"/>
      <c r="N6" s="119"/>
      <c r="O6" s="119"/>
      <c r="P6" s="119"/>
      <c r="Q6" s="120"/>
      <c r="R6" s="119"/>
      <c r="S6" s="120"/>
      <c r="T6" s="119"/>
      <c r="U6" s="119"/>
      <c r="V6" s="119"/>
      <c r="W6" s="119"/>
      <c r="X6" s="119"/>
      <c r="Y6" s="119"/>
      <c r="Z6" s="119"/>
      <c r="AA6" s="119"/>
      <c r="AB6" s="119"/>
    </row>
    <row r="7">
      <c r="A7" s="116">
        <v>104.0</v>
      </c>
      <c r="B7" s="117" t="s">
        <v>14</v>
      </c>
      <c r="C7" s="118">
        <v>700.0</v>
      </c>
      <c r="D7" s="116"/>
      <c r="E7" s="118"/>
      <c r="F7" s="117"/>
      <c r="G7" s="117" t="s">
        <v>8</v>
      </c>
      <c r="H7" s="119"/>
      <c r="I7" s="117" t="s">
        <v>253</v>
      </c>
      <c r="J7" s="118">
        <f t="shared" ref="J7:J12" si="3">sum(C7+E7)</f>
        <v>700</v>
      </c>
      <c r="K7" s="118">
        <v>700.0</v>
      </c>
      <c r="L7" s="118">
        <f t="shared" si="1"/>
        <v>0</v>
      </c>
      <c r="M7" s="120"/>
      <c r="N7" s="117" t="s">
        <v>495</v>
      </c>
      <c r="O7" s="117" t="s">
        <v>80</v>
      </c>
      <c r="P7" s="117"/>
      <c r="Q7" s="122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</row>
    <row r="8">
      <c r="A8" s="116">
        <v>105.0</v>
      </c>
      <c r="B8" s="117" t="s">
        <v>15</v>
      </c>
      <c r="C8" s="118">
        <v>700.0</v>
      </c>
      <c r="D8" s="116"/>
      <c r="E8" s="118"/>
      <c r="F8" s="119"/>
      <c r="G8" s="117" t="s">
        <v>8</v>
      </c>
      <c r="H8" s="117"/>
      <c r="I8" s="117" t="s">
        <v>249</v>
      </c>
      <c r="J8" s="118">
        <f t="shared" si="3"/>
        <v>700</v>
      </c>
      <c r="K8" s="118">
        <v>700.0</v>
      </c>
      <c r="L8" s="118">
        <f t="shared" si="1"/>
        <v>0</v>
      </c>
      <c r="M8" s="120"/>
      <c r="N8" s="119"/>
      <c r="O8" s="117" t="s">
        <v>140</v>
      </c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</row>
    <row r="9">
      <c r="A9" s="60">
        <v>106.0</v>
      </c>
      <c r="B9" s="14" t="s">
        <v>468</v>
      </c>
      <c r="C9" s="61">
        <v>700.0</v>
      </c>
      <c r="D9" s="15"/>
      <c r="E9" s="61">
        <v>1750.0</v>
      </c>
      <c r="F9" s="15"/>
      <c r="G9" s="14" t="s">
        <v>8</v>
      </c>
      <c r="H9" s="15"/>
      <c r="I9" s="14" t="s">
        <v>249</v>
      </c>
      <c r="J9" s="61">
        <f t="shared" si="3"/>
        <v>2450</v>
      </c>
      <c r="K9" s="61"/>
      <c r="L9" s="61">
        <f t="shared" si="1"/>
        <v>2450</v>
      </c>
      <c r="M9" s="15"/>
      <c r="N9" s="15"/>
      <c r="O9" s="15"/>
      <c r="P9" s="14" t="s">
        <v>364</v>
      </c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82">
        <v>107.0</v>
      </c>
      <c r="B10" s="85"/>
      <c r="C10" s="84"/>
      <c r="D10" s="85"/>
      <c r="E10" s="84"/>
      <c r="F10" s="85"/>
      <c r="G10" s="83" t="s">
        <v>11</v>
      </c>
      <c r="H10" s="85"/>
      <c r="I10" s="85"/>
      <c r="J10" s="96">
        <f t="shared" si="3"/>
        <v>0</v>
      </c>
      <c r="K10" s="96"/>
      <c r="L10" s="84">
        <f t="shared" si="1"/>
        <v>0</v>
      </c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</row>
    <row r="11">
      <c r="A11" s="82">
        <v>108.0</v>
      </c>
      <c r="B11" s="85"/>
      <c r="C11" s="84"/>
      <c r="D11" s="85"/>
      <c r="E11" s="84"/>
      <c r="F11" s="85"/>
      <c r="G11" s="83" t="s">
        <v>11</v>
      </c>
      <c r="H11" s="85"/>
      <c r="I11" s="85"/>
      <c r="J11" s="96">
        <f t="shared" si="3"/>
        <v>0</v>
      </c>
      <c r="K11" s="84"/>
      <c r="L11" s="84">
        <f t="shared" si="1"/>
        <v>0</v>
      </c>
      <c r="M11" s="93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</row>
    <row r="12">
      <c r="A12" s="116">
        <v>109.0</v>
      </c>
      <c r="B12" s="117" t="s">
        <v>392</v>
      </c>
      <c r="C12" s="118">
        <v>640.0</v>
      </c>
      <c r="D12" s="116"/>
      <c r="E12" s="121"/>
      <c r="F12" s="119"/>
      <c r="G12" s="117" t="s">
        <v>8</v>
      </c>
      <c r="H12" s="119"/>
      <c r="I12" s="117" t="s">
        <v>249</v>
      </c>
      <c r="J12" s="118">
        <f t="shared" si="3"/>
        <v>640</v>
      </c>
      <c r="K12" s="118">
        <v>750.0</v>
      </c>
      <c r="L12" s="118">
        <f>sum(J12-K12)</f>
        <v>-110</v>
      </c>
      <c r="M12" s="117" t="s">
        <v>496</v>
      </c>
      <c r="N12" s="117" t="s">
        <v>497</v>
      </c>
      <c r="O12" s="119"/>
      <c r="P12" s="119"/>
      <c r="Q12" s="120">
        <v>45870.0</v>
      </c>
      <c r="R12" s="117">
        <v>8527.0</v>
      </c>
      <c r="S12" s="120">
        <v>45876.0</v>
      </c>
      <c r="T12" s="117">
        <v>8542.0</v>
      </c>
      <c r="U12" s="120"/>
      <c r="V12" s="117">
        <v>8512.0</v>
      </c>
      <c r="W12" s="119"/>
      <c r="X12" s="119"/>
      <c r="Y12" s="119"/>
      <c r="Z12" s="119"/>
      <c r="AA12" s="119"/>
      <c r="AB12" s="119"/>
    </row>
    <row r="13">
      <c r="A13" s="116">
        <v>110.0</v>
      </c>
      <c r="B13" s="117" t="s">
        <v>498</v>
      </c>
      <c r="C13" s="118">
        <v>640.0</v>
      </c>
      <c r="D13" s="117"/>
      <c r="E13" s="118"/>
      <c r="F13" s="119"/>
      <c r="G13" s="117" t="s">
        <v>8</v>
      </c>
      <c r="H13" s="119"/>
      <c r="I13" s="117" t="s">
        <v>249</v>
      </c>
      <c r="J13" s="118">
        <v>640.0</v>
      </c>
      <c r="K13" s="118">
        <v>800.0</v>
      </c>
      <c r="L13" s="118">
        <f t="shared" ref="L13:L14" si="4">SUM(J13-K13)</f>
        <v>-160</v>
      </c>
      <c r="M13" s="117" t="s">
        <v>499</v>
      </c>
      <c r="N13" s="117" t="s">
        <v>500</v>
      </c>
      <c r="O13" s="117" t="s">
        <v>140</v>
      </c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</row>
    <row r="14">
      <c r="A14" s="116">
        <v>111.0</v>
      </c>
      <c r="B14" s="117" t="s">
        <v>19</v>
      </c>
      <c r="C14" s="118">
        <v>640.0</v>
      </c>
      <c r="D14" s="116"/>
      <c r="E14" s="121"/>
      <c r="F14" s="119"/>
      <c r="G14" s="117" t="s">
        <v>8</v>
      </c>
      <c r="H14" s="119"/>
      <c r="I14" s="117" t="s">
        <v>253</v>
      </c>
      <c r="J14" s="118">
        <f t="shared" ref="J14:J26" si="5">sum(C14+E14)</f>
        <v>640</v>
      </c>
      <c r="K14" s="118">
        <v>610.0</v>
      </c>
      <c r="L14" s="118">
        <f t="shared" si="4"/>
        <v>30</v>
      </c>
      <c r="M14" s="120">
        <v>46119.0</v>
      </c>
      <c r="N14" s="117" t="s">
        <v>501</v>
      </c>
      <c r="O14" s="117" t="s">
        <v>140</v>
      </c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</row>
    <row r="15">
      <c r="A15" s="123">
        <v>112.0</v>
      </c>
      <c r="B15" s="124" t="s">
        <v>397</v>
      </c>
      <c r="C15" s="125">
        <v>600.0</v>
      </c>
      <c r="D15" s="123"/>
      <c r="E15" s="125"/>
      <c r="F15" s="126"/>
      <c r="G15" s="124" t="s">
        <v>11</v>
      </c>
      <c r="H15" s="126"/>
      <c r="I15" s="124" t="s">
        <v>249</v>
      </c>
      <c r="J15" s="125">
        <f t="shared" si="5"/>
        <v>600</v>
      </c>
      <c r="K15" s="125"/>
      <c r="L15" s="125">
        <f t="shared" ref="L15:L17" si="6">sum(J15-K15)</f>
        <v>600</v>
      </c>
      <c r="M15" s="142"/>
      <c r="N15" s="124"/>
      <c r="O15" s="124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</row>
    <row r="16">
      <c r="A16" s="116">
        <v>113.0</v>
      </c>
      <c r="B16" s="117" t="s">
        <v>21</v>
      </c>
      <c r="C16" s="118">
        <v>640.0</v>
      </c>
      <c r="D16" s="116"/>
      <c r="E16" s="118">
        <v>-150.0</v>
      </c>
      <c r="F16" s="117" t="s">
        <v>378</v>
      </c>
      <c r="G16" s="117" t="s">
        <v>8</v>
      </c>
      <c r="H16" s="119"/>
      <c r="I16" s="117" t="s">
        <v>253</v>
      </c>
      <c r="J16" s="118">
        <f t="shared" si="5"/>
        <v>490</v>
      </c>
      <c r="K16" s="118">
        <v>450.0</v>
      </c>
      <c r="L16" s="118">
        <f t="shared" si="6"/>
        <v>40</v>
      </c>
      <c r="M16" s="135">
        <v>46113.0</v>
      </c>
      <c r="N16" s="117" t="s">
        <v>502</v>
      </c>
      <c r="O16" s="117" t="s">
        <v>69</v>
      </c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</row>
    <row r="17">
      <c r="A17" s="82">
        <v>114.0</v>
      </c>
      <c r="B17" s="85"/>
      <c r="C17" s="84"/>
      <c r="D17" s="82"/>
      <c r="E17" s="84"/>
      <c r="F17" s="85"/>
      <c r="G17" s="83" t="s">
        <v>11</v>
      </c>
      <c r="H17" s="85"/>
      <c r="I17" s="83" t="s">
        <v>249</v>
      </c>
      <c r="J17" s="84">
        <f t="shared" si="5"/>
        <v>0</v>
      </c>
      <c r="K17" s="84"/>
      <c r="L17" s="84">
        <f t="shared" si="6"/>
        <v>0</v>
      </c>
      <c r="M17" s="93"/>
      <c r="N17" s="83"/>
      <c r="O17" s="83" t="s">
        <v>69</v>
      </c>
      <c r="P17" s="85"/>
      <c r="Q17" s="86">
        <v>45849.0</v>
      </c>
      <c r="R17" s="83">
        <v>8506.0</v>
      </c>
      <c r="S17" s="86"/>
      <c r="T17" s="85"/>
      <c r="U17" s="85"/>
      <c r="V17" s="85"/>
      <c r="W17" s="85"/>
      <c r="X17" s="85"/>
      <c r="Y17" s="85"/>
      <c r="Z17" s="85"/>
      <c r="AA17" s="85"/>
      <c r="AB17" s="85"/>
    </row>
    <row r="18">
      <c r="A18" s="82">
        <v>215.0</v>
      </c>
      <c r="B18" s="83" t="s">
        <v>473</v>
      </c>
      <c r="C18" s="84"/>
      <c r="D18" s="82"/>
      <c r="E18" s="84"/>
      <c r="F18" s="85"/>
      <c r="G18" s="83" t="s">
        <v>11</v>
      </c>
      <c r="H18" s="85"/>
      <c r="I18" s="83"/>
      <c r="J18" s="84">
        <f t="shared" si="5"/>
        <v>0</v>
      </c>
      <c r="K18" s="84"/>
      <c r="L18" s="84">
        <f>SUM(J18-K18)</f>
        <v>0</v>
      </c>
      <c r="M18" s="86"/>
      <c r="N18" s="83"/>
      <c r="O18" s="83"/>
      <c r="P18" s="85"/>
      <c r="Q18" s="86">
        <v>45849.0</v>
      </c>
      <c r="R18" s="83">
        <v>8504.0</v>
      </c>
      <c r="S18" s="85"/>
      <c r="T18" s="85"/>
      <c r="U18" s="85"/>
      <c r="V18" s="85"/>
      <c r="W18" s="85"/>
      <c r="X18" s="85"/>
      <c r="Y18" s="85"/>
      <c r="Z18" s="85"/>
      <c r="AA18" s="85"/>
      <c r="AB18" s="85"/>
    </row>
    <row r="19">
      <c r="A19" s="116">
        <v>216.0</v>
      </c>
      <c r="B19" s="117" t="s">
        <v>22</v>
      </c>
      <c r="C19" s="118">
        <v>640.0</v>
      </c>
      <c r="D19" s="116"/>
      <c r="E19" s="121"/>
      <c r="F19" s="119"/>
      <c r="G19" s="117" t="s">
        <v>8</v>
      </c>
      <c r="H19" s="119"/>
      <c r="I19" s="117" t="s">
        <v>249</v>
      </c>
      <c r="J19" s="118">
        <f t="shared" si="5"/>
        <v>640</v>
      </c>
      <c r="K19" s="118">
        <v>640.0</v>
      </c>
      <c r="L19" s="118">
        <f>sum(J19-K19)</f>
        <v>0</v>
      </c>
      <c r="M19" s="117" t="s">
        <v>503</v>
      </c>
      <c r="N19" s="117" t="s">
        <v>504</v>
      </c>
      <c r="O19" s="117" t="s">
        <v>140</v>
      </c>
      <c r="P19" s="119"/>
      <c r="Q19" s="120">
        <v>45870.0</v>
      </c>
      <c r="R19" s="117">
        <v>8531.0</v>
      </c>
      <c r="S19" s="120"/>
      <c r="T19" s="119"/>
      <c r="U19" s="120"/>
      <c r="V19" s="119"/>
      <c r="W19" s="119"/>
      <c r="X19" s="119"/>
      <c r="Y19" s="119"/>
      <c r="Z19" s="119"/>
      <c r="AA19" s="119"/>
      <c r="AB19" s="119"/>
    </row>
    <row r="20">
      <c r="A20" s="127">
        <v>217.0</v>
      </c>
      <c r="B20" s="117" t="s">
        <v>505</v>
      </c>
      <c r="C20" s="128">
        <v>700.0</v>
      </c>
      <c r="D20" s="127"/>
      <c r="E20" s="128"/>
      <c r="F20" s="129"/>
      <c r="G20" s="130" t="s">
        <v>8</v>
      </c>
      <c r="H20" s="129"/>
      <c r="I20" s="130"/>
      <c r="J20" s="128">
        <f t="shared" si="5"/>
        <v>700</v>
      </c>
      <c r="K20" s="128">
        <v>685.0</v>
      </c>
      <c r="L20" s="128">
        <f t="shared" ref="L20:L21" si="7">SUM(J20-K20)</f>
        <v>15</v>
      </c>
      <c r="M20" s="130" t="s">
        <v>506</v>
      </c>
      <c r="N20" s="130" t="s">
        <v>507</v>
      </c>
      <c r="O20" s="130" t="s">
        <v>140</v>
      </c>
      <c r="P20" s="129"/>
      <c r="Q20" s="129"/>
      <c r="R20" s="129"/>
      <c r="S20" s="129"/>
      <c r="T20" s="129"/>
      <c r="U20" s="129"/>
      <c r="V20" s="129"/>
      <c r="W20" s="119"/>
      <c r="X20" s="119"/>
      <c r="Y20" s="119"/>
      <c r="Z20" s="119"/>
      <c r="AA20" s="119"/>
      <c r="AB20" s="119"/>
    </row>
    <row r="21">
      <c r="A21" s="82">
        <v>218.0</v>
      </c>
      <c r="B21" s="85"/>
      <c r="C21" s="84"/>
      <c r="D21" s="82"/>
      <c r="E21" s="84"/>
      <c r="F21" s="83"/>
      <c r="G21" s="83" t="s">
        <v>11</v>
      </c>
      <c r="H21" s="83"/>
      <c r="I21" s="83"/>
      <c r="J21" s="84">
        <f t="shared" si="5"/>
        <v>0</v>
      </c>
      <c r="K21" s="84"/>
      <c r="L21" s="84">
        <f t="shared" si="7"/>
        <v>0</v>
      </c>
      <c r="M21" s="93"/>
      <c r="N21" s="85"/>
      <c r="O21" s="85"/>
      <c r="P21" s="83"/>
      <c r="Q21" s="94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</row>
    <row r="22">
      <c r="A22" s="116">
        <v>219.0</v>
      </c>
      <c r="B22" s="117" t="s">
        <v>508</v>
      </c>
      <c r="C22" s="118"/>
      <c r="D22" s="116"/>
      <c r="E22" s="118"/>
      <c r="F22" s="119"/>
      <c r="G22" s="117" t="s">
        <v>11</v>
      </c>
      <c r="H22" s="119"/>
      <c r="I22" s="117" t="s">
        <v>266</v>
      </c>
      <c r="J22" s="118">
        <f t="shared" si="5"/>
        <v>0</v>
      </c>
      <c r="K22" s="118">
        <v>175.0</v>
      </c>
      <c r="L22" s="118">
        <f>sum(J22-K22)</f>
        <v>-175</v>
      </c>
      <c r="M22" s="117" t="s">
        <v>509</v>
      </c>
      <c r="N22" s="117" t="s">
        <v>510</v>
      </c>
      <c r="O22" s="117" t="s">
        <v>80</v>
      </c>
      <c r="P22" s="119"/>
      <c r="Q22" s="120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</row>
    <row r="23">
      <c r="A23" s="116">
        <v>220.0</v>
      </c>
      <c r="B23" s="117" t="s">
        <v>447</v>
      </c>
      <c r="C23" s="118">
        <v>700.0</v>
      </c>
      <c r="D23" s="116"/>
      <c r="E23" s="118"/>
      <c r="F23" s="119"/>
      <c r="G23" s="117" t="s">
        <v>8</v>
      </c>
      <c r="H23" s="119"/>
      <c r="I23" s="117" t="s">
        <v>249</v>
      </c>
      <c r="J23" s="118">
        <f t="shared" si="5"/>
        <v>700</v>
      </c>
      <c r="K23" s="118">
        <v>535.0</v>
      </c>
      <c r="L23" s="118">
        <f t="shared" ref="L23:L27" si="8">SUM(J23-K23)</f>
        <v>165</v>
      </c>
      <c r="M23" s="117" t="s">
        <v>511</v>
      </c>
      <c r="N23" s="117" t="s">
        <v>512</v>
      </c>
      <c r="O23" s="117" t="s">
        <v>140</v>
      </c>
      <c r="P23" s="119"/>
      <c r="Q23" s="120">
        <v>45877.0</v>
      </c>
      <c r="R23" s="117">
        <v>8547.0</v>
      </c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>
      <c r="A24" s="116">
        <v>221.0</v>
      </c>
      <c r="B24" s="117" t="s">
        <v>408</v>
      </c>
      <c r="C24" s="118">
        <v>700.0</v>
      </c>
      <c r="D24" s="116"/>
      <c r="E24" s="118"/>
      <c r="F24" s="119"/>
      <c r="G24" s="117" t="s">
        <v>8</v>
      </c>
      <c r="H24" s="119"/>
      <c r="I24" s="117" t="s">
        <v>253</v>
      </c>
      <c r="J24" s="118">
        <f t="shared" si="5"/>
        <v>700</v>
      </c>
      <c r="K24" s="118">
        <v>525.0</v>
      </c>
      <c r="L24" s="118">
        <f t="shared" si="8"/>
        <v>175</v>
      </c>
      <c r="M24" s="117" t="s">
        <v>513</v>
      </c>
      <c r="N24" s="117" t="s">
        <v>514</v>
      </c>
      <c r="O24" s="117" t="s">
        <v>140</v>
      </c>
      <c r="P24" s="119"/>
      <c r="Q24" s="120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>
      <c r="A25" s="116">
        <v>222.0</v>
      </c>
      <c r="B25" s="117" t="s">
        <v>515</v>
      </c>
      <c r="C25" s="118">
        <v>700.0</v>
      </c>
      <c r="D25" s="119"/>
      <c r="E25" s="118"/>
      <c r="F25" s="119"/>
      <c r="G25" s="117" t="s">
        <v>11</v>
      </c>
      <c r="H25" s="119"/>
      <c r="I25" s="117"/>
      <c r="J25" s="118">
        <f t="shared" si="5"/>
        <v>700</v>
      </c>
      <c r="K25" s="118">
        <v>350.0</v>
      </c>
      <c r="L25" s="118">
        <f t="shared" si="8"/>
        <v>350</v>
      </c>
      <c r="M25" s="117" t="s">
        <v>516</v>
      </c>
      <c r="N25" s="117" t="s">
        <v>517</v>
      </c>
      <c r="O25" s="119"/>
      <c r="P25" s="119"/>
      <c r="Q25" s="120"/>
      <c r="R25" s="119"/>
      <c r="S25" s="120"/>
      <c r="T25" s="119"/>
      <c r="U25" s="119"/>
      <c r="V25" s="119"/>
      <c r="W25" s="119"/>
      <c r="X25" s="119"/>
      <c r="Y25" s="119"/>
      <c r="Z25" s="119"/>
      <c r="AA25" s="119"/>
      <c r="AB25" s="119"/>
    </row>
    <row r="26">
      <c r="A26" s="82">
        <v>223.0</v>
      </c>
      <c r="B26" s="85"/>
      <c r="C26" s="84"/>
      <c r="D26" s="85"/>
      <c r="E26" s="84"/>
      <c r="F26" s="85"/>
      <c r="G26" s="83" t="s">
        <v>11</v>
      </c>
      <c r="H26" s="85"/>
      <c r="I26" s="85"/>
      <c r="J26" s="96">
        <f t="shared" si="5"/>
        <v>0</v>
      </c>
      <c r="K26" s="96"/>
      <c r="L26" s="84">
        <f t="shared" si="8"/>
        <v>0</v>
      </c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</row>
    <row r="27">
      <c r="A27" s="82">
        <v>224.0</v>
      </c>
      <c r="B27" s="85"/>
      <c r="C27" s="84"/>
      <c r="D27" s="85"/>
      <c r="E27" s="84"/>
      <c r="F27" s="85"/>
      <c r="G27" s="83" t="s">
        <v>11</v>
      </c>
      <c r="H27" s="85"/>
      <c r="I27" s="103"/>
      <c r="J27" s="96">
        <f>Sum(C27+E27)</f>
        <v>0</v>
      </c>
      <c r="K27" s="96"/>
      <c r="L27" s="84">
        <f t="shared" si="8"/>
        <v>0</v>
      </c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</row>
    <row r="28">
      <c r="A28" s="116">
        <v>225.0</v>
      </c>
      <c r="B28" s="117" t="s">
        <v>518</v>
      </c>
      <c r="C28" s="118">
        <v>640.0</v>
      </c>
      <c r="D28" s="116"/>
      <c r="E28" s="118"/>
      <c r="F28" s="119"/>
      <c r="G28" s="117" t="s">
        <v>11</v>
      </c>
      <c r="H28" s="119"/>
      <c r="I28" s="117" t="s">
        <v>249</v>
      </c>
      <c r="J28" s="118">
        <f t="shared" ref="J28:J33" si="9">sum(C28+E28)</f>
        <v>640</v>
      </c>
      <c r="K28" s="133">
        <v>480.0</v>
      </c>
      <c r="L28" s="118">
        <f>sum(J28-K28)</f>
        <v>160</v>
      </c>
      <c r="M28" s="117" t="s">
        <v>519</v>
      </c>
      <c r="N28" s="117" t="s">
        <v>520</v>
      </c>
      <c r="O28" s="117" t="s">
        <v>80</v>
      </c>
      <c r="P28" s="119"/>
      <c r="Q28" s="120">
        <v>45869.0</v>
      </c>
      <c r="R28" s="117">
        <v>8528.0</v>
      </c>
      <c r="S28" s="135">
        <v>45875.0</v>
      </c>
      <c r="T28" s="117">
        <v>8541.0</v>
      </c>
      <c r="U28" s="117" t="s">
        <v>366</v>
      </c>
      <c r="V28" s="119"/>
      <c r="W28" s="119"/>
      <c r="X28" s="119"/>
      <c r="Y28" s="119"/>
      <c r="Z28" s="119"/>
      <c r="AA28" s="119"/>
      <c r="AB28" s="119"/>
    </row>
    <row r="29">
      <c r="A29" s="116">
        <v>226.0</v>
      </c>
      <c r="B29" s="117" t="s">
        <v>385</v>
      </c>
      <c r="C29" s="118">
        <v>640.0</v>
      </c>
      <c r="D29" s="116"/>
      <c r="E29" s="118"/>
      <c r="F29" s="119"/>
      <c r="G29" s="117" t="s">
        <v>11</v>
      </c>
      <c r="H29" s="119"/>
      <c r="I29" s="117"/>
      <c r="J29" s="118">
        <f t="shared" si="9"/>
        <v>640</v>
      </c>
      <c r="K29" s="132">
        <v>600.0</v>
      </c>
      <c r="L29" s="118">
        <f t="shared" ref="L29:L33" si="10">SUM(J29-K29)</f>
        <v>40</v>
      </c>
      <c r="M29" s="117" t="s">
        <v>521</v>
      </c>
      <c r="N29" s="117" t="s">
        <v>522</v>
      </c>
      <c r="O29" s="117" t="s">
        <v>140</v>
      </c>
      <c r="P29" s="119"/>
      <c r="Q29" s="120"/>
      <c r="R29" s="117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>
      <c r="A30" s="116">
        <v>227.0</v>
      </c>
      <c r="B30" s="117" t="s">
        <v>28</v>
      </c>
      <c r="C30" s="118">
        <v>640.0</v>
      </c>
      <c r="D30" s="116"/>
      <c r="E30" s="121"/>
      <c r="F30" s="119"/>
      <c r="G30" s="117" t="s">
        <v>11</v>
      </c>
      <c r="H30" s="119"/>
      <c r="I30" s="117" t="s">
        <v>253</v>
      </c>
      <c r="J30" s="118">
        <f t="shared" si="9"/>
        <v>640</v>
      </c>
      <c r="K30" s="132">
        <v>600.0</v>
      </c>
      <c r="L30" s="118">
        <f t="shared" si="10"/>
        <v>40</v>
      </c>
      <c r="M30" s="117" t="s">
        <v>523</v>
      </c>
      <c r="N30" s="117" t="s">
        <v>524</v>
      </c>
      <c r="O30" s="117" t="s">
        <v>140</v>
      </c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>
      <c r="A31" s="116">
        <v>228.0</v>
      </c>
      <c r="B31" s="117" t="s">
        <v>29</v>
      </c>
      <c r="C31" s="118">
        <v>640.0</v>
      </c>
      <c r="D31" s="116"/>
      <c r="E31" s="118"/>
      <c r="F31" s="119"/>
      <c r="G31" s="117" t="s">
        <v>8</v>
      </c>
      <c r="H31" s="119"/>
      <c r="I31" s="117" t="s">
        <v>266</v>
      </c>
      <c r="J31" s="118">
        <f t="shared" si="9"/>
        <v>640</v>
      </c>
      <c r="K31" s="133">
        <v>300.0</v>
      </c>
      <c r="L31" s="118">
        <f t="shared" si="10"/>
        <v>340</v>
      </c>
      <c r="M31" s="117" t="s">
        <v>525</v>
      </c>
      <c r="N31" s="117" t="s">
        <v>526</v>
      </c>
      <c r="O31" s="117" t="s">
        <v>341</v>
      </c>
      <c r="P31" s="119"/>
      <c r="Q31" s="120">
        <v>45877.0</v>
      </c>
      <c r="R31" s="117">
        <v>8545.0</v>
      </c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>
      <c r="A32" s="116">
        <v>229.0</v>
      </c>
      <c r="B32" s="117" t="s">
        <v>71</v>
      </c>
      <c r="C32" s="118">
        <v>640.0</v>
      </c>
      <c r="D32" s="116"/>
      <c r="E32" s="121"/>
      <c r="F32" s="119"/>
      <c r="G32" s="117" t="s">
        <v>8</v>
      </c>
      <c r="H32" s="119"/>
      <c r="I32" s="117" t="s">
        <v>326</v>
      </c>
      <c r="J32" s="118">
        <f t="shared" si="9"/>
        <v>640</v>
      </c>
      <c r="K32" s="132">
        <v>640.0</v>
      </c>
      <c r="L32" s="118">
        <f t="shared" si="10"/>
        <v>0</v>
      </c>
      <c r="M32" s="117" t="s">
        <v>527</v>
      </c>
      <c r="N32" s="117" t="s">
        <v>528</v>
      </c>
      <c r="O32" s="117" t="s">
        <v>140</v>
      </c>
      <c r="P32" s="119"/>
      <c r="Q32" s="120">
        <v>45877.0</v>
      </c>
      <c r="R32" s="117">
        <v>8544.0</v>
      </c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>
      <c r="A33" s="116">
        <v>230.0</v>
      </c>
      <c r="B33" s="117" t="s">
        <v>420</v>
      </c>
      <c r="C33" s="118">
        <v>640.0</v>
      </c>
      <c r="D33" s="116"/>
      <c r="E33" s="118"/>
      <c r="F33" s="119"/>
      <c r="G33" s="117" t="s">
        <v>8</v>
      </c>
      <c r="H33" s="119"/>
      <c r="I33" s="117" t="s">
        <v>249</v>
      </c>
      <c r="J33" s="118">
        <f t="shared" si="9"/>
        <v>640</v>
      </c>
      <c r="K33" s="133">
        <v>160.0</v>
      </c>
      <c r="L33" s="118">
        <f t="shared" si="10"/>
        <v>480</v>
      </c>
      <c r="M33" s="117" t="s">
        <v>525</v>
      </c>
      <c r="N33" s="117" t="s">
        <v>529</v>
      </c>
      <c r="O33" s="117" t="s">
        <v>140</v>
      </c>
      <c r="P33" s="119"/>
      <c r="Q33" s="120">
        <v>45870.0</v>
      </c>
      <c r="R33" s="117">
        <v>8535.0</v>
      </c>
      <c r="S33" s="120"/>
      <c r="T33" s="119"/>
      <c r="U33" s="120"/>
      <c r="V33" s="119"/>
      <c r="W33" s="119"/>
      <c r="X33" s="119"/>
      <c r="Y33" s="119"/>
      <c r="Z33" s="119"/>
      <c r="AA33" s="119"/>
      <c r="AB33" s="119"/>
    </row>
    <row r="34">
      <c r="W34" s="17"/>
      <c r="X34" s="17"/>
      <c r="Y34" s="17"/>
      <c r="Z34" s="17"/>
      <c r="AA34" s="17"/>
      <c r="AB34" s="17"/>
    </row>
    <row r="35">
      <c r="A35" s="12" t="s">
        <v>197</v>
      </c>
      <c r="B35" s="17"/>
      <c r="C35" s="63">
        <f>SUM(C3:C33)</f>
        <v>15340</v>
      </c>
      <c r="D35" s="17"/>
      <c r="E35" s="63">
        <f>SUM(E3:E33)</f>
        <v>1600</v>
      </c>
      <c r="F35" s="17"/>
      <c r="G35" s="17">
        <f t="array" ref="G35">COUNTIF(G3:G33,"y")</f>
        <v>18</v>
      </c>
      <c r="H35" s="17"/>
      <c r="I35" s="17"/>
      <c r="J35" s="63">
        <f t="shared" ref="J35:L35" si="11">SUM(J3:J33)</f>
        <v>16940</v>
      </c>
      <c r="K35" s="63">
        <f t="shared" si="11"/>
        <v>11275</v>
      </c>
      <c r="L35" s="63">
        <f t="shared" si="11"/>
        <v>5665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7">
      <c r="W37" s="19"/>
      <c r="X37" s="19"/>
      <c r="Y37" s="19"/>
      <c r="Z37" s="19"/>
      <c r="AA37" s="19"/>
      <c r="AB37" s="19"/>
    </row>
    <row r="38">
      <c r="A38" s="18" t="s">
        <v>34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21"/>
      <c r="X38" s="21"/>
      <c r="Y38" s="21"/>
      <c r="Z38" s="21"/>
      <c r="AA38" s="21"/>
      <c r="AB38" s="21"/>
    </row>
    <row r="39">
      <c r="A39" s="20" t="s">
        <v>198</v>
      </c>
      <c r="B39" s="20" t="s">
        <v>121</v>
      </c>
      <c r="C39" s="21"/>
      <c r="D39" s="20" t="s">
        <v>199</v>
      </c>
      <c r="E39" s="20">
        <v>1.0</v>
      </c>
      <c r="F39" s="20">
        <v>2.0</v>
      </c>
      <c r="G39" s="20">
        <v>3.0</v>
      </c>
      <c r="H39" s="20">
        <v>4.0</v>
      </c>
      <c r="I39" s="20"/>
      <c r="J39" s="20">
        <v>5.0</v>
      </c>
      <c r="K39" s="20">
        <v>6.0</v>
      </c>
      <c r="L39" s="20">
        <v>7.0</v>
      </c>
      <c r="M39" s="20">
        <v>8.0</v>
      </c>
      <c r="N39" s="20">
        <v>9.0</v>
      </c>
      <c r="O39" s="22" t="s">
        <v>200</v>
      </c>
      <c r="P39" s="21"/>
      <c r="Q39" s="21"/>
      <c r="R39" s="21"/>
      <c r="S39" s="21"/>
      <c r="T39" s="21"/>
      <c r="U39" s="21"/>
      <c r="V39" s="21"/>
    </row>
    <row r="40">
      <c r="A40" s="7" t="s">
        <v>122</v>
      </c>
      <c r="B40" s="42">
        <f>O49</f>
        <v>2000</v>
      </c>
      <c r="D40" s="7" t="s">
        <v>61</v>
      </c>
      <c r="E40" s="7">
        <v>500.0</v>
      </c>
      <c r="F40" s="7">
        <v>500.0</v>
      </c>
      <c r="G40" s="7">
        <v>500.0</v>
      </c>
      <c r="H40" s="7">
        <v>500.0</v>
      </c>
      <c r="O40" s="17">
        <f t="shared" ref="O40:O41" si="12">SUM(E40:N40)</f>
        <v>2000</v>
      </c>
    </row>
    <row r="41">
      <c r="A41" s="7" t="s">
        <v>123</v>
      </c>
      <c r="B41" s="42">
        <v>0.0</v>
      </c>
      <c r="D41" s="7" t="s">
        <v>477</v>
      </c>
      <c r="O41" s="17">
        <f t="shared" si="12"/>
        <v>0</v>
      </c>
    </row>
    <row r="42">
      <c r="A42" s="7" t="s">
        <v>127</v>
      </c>
      <c r="B42" s="42">
        <v>119.43</v>
      </c>
      <c r="D42" s="7" t="s">
        <v>462</v>
      </c>
      <c r="E42" s="7">
        <v>600.0</v>
      </c>
      <c r="F42" s="7">
        <v>600.0</v>
      </c>
      <c r="G42" s="7">
        <v>600.0</v>
      </c>
      <c r="H42" s="7">
        <v>600.0</v>
      </c>
      <c r="O42" s="17"/>
    </row>
    <row r="43">
      <c r="A43" s="7" t="s">
        <v>124</v>
      </c>
      <c r="B43" s="42">
        <v>2029.19</v>
      </c>
      <c r="D43" s="7" t="s">
        <v>297</v>
      </c>
      <c r="O43" s="17">
        <f t="shared" ref="O43:O48" si="13">SUM(E43:N43)</f>
        <v>0</v>
      </c>
    </row>
    <row r="44">
      <c r="A44" s="7" t="s">
        <v>125</v>
      </c>
      <c r="B44" s="42">
        <v>170.5</v>
      </c>
      <c r="O44" s="17">
        <f t="shared" si="13"/>
        <v>0</v>
      </c>
    </row>
    <row r="45">
      <c r="A45" s="7" t="s">
        <v>126</v>
      </c>
      <c r="B45" s="42">
        <v>364.44</v>
      </c>
      <c r="O45" s="17">
        <f t="shared" si="13"/>
        <v>0</v>
      </c>
    </row>
    <row r="46">
      <c r="A46" s="7" t="s">
        <v>128</v>
      </c>
      <c r="B46" s="42">
        <v>918.21</v>
      </c>
      <c r="O46" s="17">
        <f t="shared" si="13"/>
        <v>0</v>
      </c>
    </row>
    <row r="47">
      <c r="A47" s="7" t="s">
        <v>129</v>
      </c>
      <c r="B47" s="42">
        <v>1000.0</v>
      </c>
      <c r="D47" s="7"/>
      <c r="O47" s="17">
        <f t="shared" si="13"/>
        <v>0</v>
      </c>
    </row>
    <row r="48">
      <c r="A48" s="7" t="s">
        <v>207</v>
      </c>
      <c r="B48" s="42">
        <v>828.78</v>
      </c>
      <c r="D48" s="7"/>
      <c r="E48" s="7"/>
      <c r="F48" s="7"/>
      <c r="G48" s="7"/>
      <c r="H48" s="7"/>
      <c r="J48" s="7"/>
      <c r="K48" s="7"/>
      <c r="O48" s="17">
        <f t="shared" si="13"/>
        <v>0</v>
      </c>
    </row>
    <row r="49">
      <c r="A49" s="7" t="s">
        <v>381</v>
      </c>
      <c r="B49" s="43" t="str">
        <f>E80</f>
        <v/>
      </c>
      <c r="O49" s="17">
        <f>SUM(O40:O48)</f>
        <v>2000</v>
      </c>
    </row>
    <row r="50">
      <c r="B50" s="43"/>
      <c r="W50" s="17"/>
      <c r="X50" s="17"/>
      <c r="Y50" s="17"/>
      <c r="Z50" s="17"/>
      <c r="AA50" s="17"/>
      <c r="AB50" s="17"/>
    </row>
    <row r="51">
      <c r="A51" s="7" t="s">
        <v>200</v>
      </c>
      <c r="B51" s="43">
        <f>SUM(B40:B49)</f>
        <v>7430.55</v>
      </c>
    </row>
    <row r="52">
      <c r="A52" s="17"/>
      <c r="B52" s="17"/>
      <c r="C52" s="17"/>
      <c r="D52" s="22" t="s">
        <v>209</v>
      </c>
      <c r="E52" s="22" t="s">
        <v>121</v>
      </c>
      <c r="F52" s="22" t="s">
        <v>210</v>
      </c>
      <c r="G52" s="22" t="s">
        <v>211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</row>
    <row r="53">
      <c r="B53" s="7" t="s">
        <v>347</v>
      </c>
      <c r="C53" s="7" t="s">
        <v>348</v>
      </c>
    </row>
    <row r="54">
      <c r="A54" s="7" t="s">
        <v>214</v>
      </c>
      <c r="B54" s="42">
        <f t="shared" ref="B54:C54" si="14">J35</f>
        <v>16940</v>
      </c>
      <c r="C54" s="42">
        <f t="shared" si="14"/>
        <v>11275</v>
      </c>
      <c r="E54" s="42"/>
    </row>
    <row r="55">
      <c r="A55" s="7" t="s">
        <v>217</v>
      </c>
      <c r="B55" s="43">
        <f>B51</f>
        <v>7430.55</v>
      </c>
      <c r="C55" s="43">
        <f>B51</f>
        <v>7430.55</v>
      </c>
      <c r="E55" s="42"/>
    </row>
    <row r="56">
      <c r="E56" s="42"/>
    </row>
    <row r="57">
      <c r="A57" s="44" t="s">
        <v>221</v>
      </c>
      <c r="B57" s="74">
        <f>B54-B55</f>
        <v>9509.45</v>
      </c>
      <c r="C57" s="74">
        <f>SUM(C54-C55)</f>
        <v>3844.45</v>
      </c>
      <c r="D57" s="75"/>
      <c r="E57" s="42"/>
    </row>
    <row r="58">
      <c r="E58" s="43"/>
    </row>
    <row r="59">
      <c r="A59" s="7" t="s">
        <v>361</v>
      </c>
      <c r="E59" s="43"/>
    </row>
    <row r="60">
      <c r="E60" s="43"/>
    </row>
    <row r="61">
      <c r="E61" s="43"/>
    </row>
    <row r="62">
      <c r="E62" s="43"/>
    </row>
    <row r="63">
      <c r="E63" s="42"/>
    </row>
    <row r="64">
      <c r="E64" s="42"/>
    </row>
    <row r="65">
      <c r="E65" s="42"/>
    </row>
    <row r="66">
      <c r="E66" s="43"/>
    </row>
    <row r="67">
      <c r="E67" s="43"/>
    </row>
    <row r="68">
      <c r="E68" s="43"/>
    </row>
    <row r="69">
      <c r="E69" s="43"/>
    </row>
    <row r="70">
      <c r="E70" s="43"/>
    </row>
    <row r="71">
      <c r="E71" s="43"/>
    </row>
    <row r="72">
      <c r="E72" s="43"/>
    </row>
    <row r="73">
      <c r="E73" s="43"/>
    </row>
    <row r="74">
      <c r="E74" s="43"/>
    </row>
    <row r="75">
      <c r="E75" s="43"/>
    </row>
    <row r="76">
      <c r="D76" s="7"/>
      <c r="E76" s="43"/>
    </row>
    <row r="77">
      <c r="D77" s="7"/>
      <c r="E77" s="43"/>
    </row>
    <row r="78">
      <c r="D78" s="7" t="s">
        <v>200</v>
      </c>
      <c r="E78" s="43">
        <f>SUM(E51:E74)</f>
        <v>0</v>
      </c>
    </row>
  </sheetData>
  <conditionalFormatting sqref="B1">
    <cfRule type="notContainsBlanks" dxfId="9" priority="1">
      <formula>LEN(TRIM(B1))&gt;0</formula>
    </cfRule>
  </conditionalFormatting>
  <printOptions gridLines="1" horizontalCentered="1"/>
  <pageMargins bottom="0.75" footer="0.0" header="0.0" left="0.7" right="0.7" top="0.75"/>
  <pageSetup scale="6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3.25"/>
    <col customWidth="1" min="2" max="2" width="26.13"/>
    <col customWidth="1" min="4" max="4" width="19.25"/>
    <col customWidth="1" min="5" max="5" width="17.63"/>
    <col customWidth="1" min="6" max="6" width="5.38"/>
    <col customWidth="1" min="7" max="7" width="8.88"/>
    <col customWidth="1" min="8" max="8" width="19.5"/>
    <col customWidth="1" min="9" max="9" width="18.88"/>
    <col customWidth="1" min="12" max="12" width="17.75"/>
    <col customWidth="1" min="13" max="13" width="14.75"/>
    <col customWidth="1" min="14" max="14" width="15.5"/>
    <col customWidth="1" min="15" max="15" width="16.75"/>
    <col customWidth="1" min="18" max="18" width="19.38"/>
    <col customWidth="1" min="19" max="19" width="17.25"/>
  </cols>
  <sheetData>
    <row r="1">
      <c r="A1" s="44" t="s">
        <v>36</v>
      </c>
      <c r="B1" s="44" t="s">
        <v>37</v>
      </c>
      <c r="C1" s="44" t="s">
        <v>2</v>
      </c>
      <c r="D1" s="44" t="s">
        <v>38</v>
      </c>
      <c r="E1" s="44" t="s">
        <v>39</v>
      </c>
      <c r="F1" s="44" t="s">
        <v>40</v>
      </c>
      <c r="G1" s="44" t="s">
        <v>3</v>
      </c>
      <c r="H1" s="44" t="s">
        <v>7</v>
      </c>
      <c r="I1" s="44" t="s">
        <v>246</v>
      </c>
      <c r="J1" s="44" t="s">
        <v>41</v>
      </c>
      <c r="K1" s="44" t="s">
        <v>42</v>
      </c>
      <c r="L1" s="44" t="s">
        <v>43</v>
      </c>
      <c r="M1" s="44" t="s">
        <v>44</v>
      </c>
      <c r="N1" s="44"/>
      <c r="O1" s="44" t="s">
        <v>46</v>
      </c>
      <c r="P1" s="44" t="s">
        <v>47</v>
      </c>
      <c r="Q1" s="44" t="s">
        <v>44</v>
      </c>
      <c r="R1" s="12"/>
      <c r="S1" s="12"/>
      <c r="T1" s="13"/>
      <c r="U1" s="13"/>
      <c r="V1" s="13"/>
      <c r="W1" s="13"/>
      <c r="X1" s="13"/>
      <c r="Y1" s="13"/>
      <c r="Z1" s="13"/>
      <c r="AA1" s="13"/>
      <c r="AB1" s="13"/>
    </row>
    <row r="2">
      <c r="A2" s="44" t="s">
        <v>367</v>
      </c>
      <c r="B2" s="44" t="s">
        <v>37</v>
      </c>
      <c r="C2" s="44" t="s">
        <v>2</v>
      </c>
      <c r="D2" s="44" t="s">
        <v>38</v>
      </c>
      <c r="E2" s="44" t="s">
        <v>382</v>
      </c>
      <c r="F2" s="44" t="s">
        <v>40</v>
      </c>
      <c r="G2" s="44" t="s">
        <v>3</v>
      </c>
      <c r="H2" s="44" t="s">
        <v>7</v>
      </c>
      <c r="I2" s="44" t="s">
        <v>246</v>
      </c>
      <c r="J2" s="44" t="s">
        <v>41</v>
      </c>
      <c r="K2" s="44" t="s">
        <v>368</v>
      </c>
      <c r="L2" s="44" t="s">
        <v>43</v>
      </c>
      <c r="M2" s="44" t="s">
        <v>44</v>
      </c>
      <c r="N2" s="44" t="s">
        <v>45</v>
      </c>
      <c r="O2" s="44" t="s">
        <v>46</v>
      </c>
      <c r="P2" s="44" t="s">
        <v>47</v>
      </c>
      <c r="Q2" s="44" t="s">
        <v>247</v>
      </c>
      <c r="R2" s="12" t="s">
        <v>333</v>
      </c>
      <c r="S2" s="12" t="s">
        <v>334</v>
      </c>
      <c r="T2" s="12" t="s">
        <v>335</v>
      </c>
      <c r="U2" s="12" t="s">
        <v>336</v>
      </c>
      <c r="V2" s="12" t="s">
        <v>337</v>
      </c>
    </row>
    <row r="3">
      <c r="A3" s="116">
        <v>100.0</v>
      </c>
      <c r="B3" s="117" t="s">
        <v>9</v>
      </c>
      <c r="C3" s="118">
        <v>700.0</v>
      </c>
      <c r="D3" s="116"/>
      <c r="E3" s="118"/>
      <c r="F3" s="119"/>
      <c r="G3" s="117" t="s">
        <v>8</v>
      </c>
      <c r="H3" s="119"/>
      <c r="I3" s="117" t="s">
        <v>266</v>
      </c>
      <c r="J3" s="118">
        <f>Sum(C3+E3)</f>
        <v>700</v>
      </c>
      <c r="K3" s="118"/>
      <c r="L3" s="118">
        <f t="shared" ref="L3:L11" si="1">SUM(J3-K3)</f>
        <v>700</v>
      </c>
      <c r="M3" s="117" t="s">
        <v>423</v>
      </c>
      <c r="N3" s="117"/>
      <c r="O3" s="117" t="s">
        <v>341</v>
      </c>
      <c r="P3" s="119"/>
      <c r="Q3" s="120">
        <v>45855.0</v>
      </c>
      <c r="R3" s="117">
        <v>8510.0</v>
      </c>
      <c r="S3" s="120"/>
      <c r="T3" s="119"/>
      <c r="U3" s="120"/>
      <c r="V3" s="119"/>
      <c r="W3" s="119"/>
      <c r="X3" s="119"/>
      <c r="Y3" s="119"/>
      <c r="Z3" s="119"/>
      <c r="AA3" s="119"/>
      <c r="AB3" s="119"/>
    </row>
    <row r="4">
      <c r="A4" s="116">
        <v>101.0</v>
      </c>
      <c r="B4" s="117" t="s">
        <v>10</v>
      </c>
      <c r="C4" s="118">
        <v>700.0</v>
      </c>
      <c r="D4" s="116"/>
      <c r="E4" s="121"/>
      <c r="F4" s="119"/>
      <c r="G4" s="117" t="s">
        <v>8</v>
      </c>
      <c r="H4" s="119"/>
      <c r="I4" s="117" t="s">
        <v>253</v>
      </c>
      <c r="J4" s="118">
        <f t="shared" ref="J4:J5" si="2">sum(C4+E4)</f>
        <v>700</v>
      </c>
      <c r="K4" s="118"/>
      <c r="L4" s="118">
        <f t="shared" si="1"/>
        <v>700</v>
      </c>
      <c r="M4" s="134"/>
      <c r="N4" s="117"/>
      <c r="O4" s="117" t="s">
        <v>140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</row>
    <row r="5">
      <c r="A5" s="82">
        <v>102.0</v>
      </c>
      <c r="B5" s="83" t="s">
        <v>464</v>
      </c>
      <c r="C5" s="84">
        <v>700.0</v>
      </c>
      <c r="D5" s="82"/>
      <c r="E5" s="84"/>
      <c r="F5" s="85"/>
      <c r="G5" s="83" t="s">
        <v>8</v>
      </c>
      <c r="H5" s="83"/>
      <c r="I5" s="83" t="s">
        <v>253</v>
      </c>
      <c r="J5" s="84">
        <f t="shared" si="2"/>
        <v>700</v>
      </c>
      <c r="K5" s="84"/>
      <c r="L5" s="84">
        <f t="shared" si="1"/>
        <v>700</v>
      </c>
      <c r="M5" s="86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</row>
    <row r="6">
      <c r="A6" s="116">
        <v>103.0</v>
      </c>
      <c r="B6" s="117" t="s">
        <v>13</v>
      </c>
      <c r="C6" s="118">
        <v>700.0</v>
      </c>
      <c r="D6" s="116"/>
      <c r="E6" s="121"/>
      <c r="F6" s="119"/>
      <c r="G6" s="117" t="s">
        <v>8</v>
      </c>
      <c r="H6" s="119"/>
      <c r="I6" s="117" t="s">
        <v>253</v>
      </c>
      <c r="J6" s="118">
        <f>Sum(C6+E6)</f>
        <v>700</v>
      </c>
      <c r="K6" s="118"/>
      <c r="L6" s="118">
        <f t="shared" si="1"/>
        <v>700</v>
      </c>
      <c r="M6" s="120"/>
      <c r="N6" s="119"/>
      <c r="O6" s="119"/>
      <c r="P6" s="119"/>
      <c r="Q6" s="120"/>
      <c r="R6" s="119"/>
      <c r="S6" s="120"/>
      <c r="T6" s="119"/>
      <c r="U6" s="119"/>
      <c r="V6" s="119"/>
      <c r="W6" s="119"/>
      <c r="X6" s="119"/>
      <c r="Y6" s="119"/>
      <c r="Z6" s="119"/>
      <c r="AA6" s="119"/>
      <c r="AB6" s="119"/>
    </row>
    <row r="7">
      <c r="A7" s="116">
        <v>104.0</v>
      </c>
      <c r="B7" s="117" t="s">
        <v>14</v>
      </c>
      <c r="C7" s="118">
        <v>700.0</v>
      </c>
      <c r="D7" s="116"/>
      <c r="E7" s="118"/>
      <c r="F7" s="117"/>
      <c r="G7" s="117" t="s">
        <v>8</v>
      </c>
      <c r="H7" s="119"/>
      <c r="I7" s="117" t="s">
        <v>253</v>
      </c>
      <c r="J7" s="118">
        <f t="shared" ref="J7:J26" si="3">sum(C7+E7)</f>
        <v>700</v>
      </c>
      <c r="K7" s="118"/>
      <c r="L7" s="118">
        <f t="shared" si="1"/>
        <v>700</v>
      </c>
      <c r="M7" s="120"/>
      <c r="N7" s="117"/>
      <c r="O7" s="117" t="s">
        <v>80</v>
      </c>
      <c r="P7" s="117"/>
      <c r="Q7" s="122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</row>
    <row r="8">
      <c r="A8" s="116">
        <v>105.0</v>
      </c>
      <c r="B8" s="117" t="s">
        <v>15</v>
      </c>
      <c r="C8" s="118">
        <v>700.0</v>
      </c>
      <c r="D8" s="116"/>
      <c r="E8" s="118"/>
      <c r="F8" s="119"/>
      <c r="G8" s="117" t="s">
        <v>8</v>
      </c>
      <c r="H8" s="117"/>
      <c r="I8" s="117" t="s">
        <v>249</v>
      </c>
      <c r="J8" s="118">
        <f t="shared" si="3"/>
        <v>700</v>
      </c>
      <c r="K8" s="118"/>
      <c r="L8" s="118">
        <f t="shared" si="1"/>
        <v>700</v>
      </c>
      <c r="M8" s="120"/>
      <c r="N8" s="119"/>
      <c r="O8" s="117" t="s">
        <v>140</v>
      </c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</row>
    <row r="9">
      <c r="A9" s="60">
        <v>106.0</v>
      </c>
      <c r="B9" s="14" t="s">
        <v>468</v>
      </c>
      <c r="C9" s="61">
        <v>700.0</v>
      </c>
      <c r="D9" s="15"/>
      <c r="E9" s="61">
        <v>2450.0</v>
      </c>
      <c r="F9" s="15"/>
      <c r="G9" s="14" t="s">
        <v>8</v>
      </c>
      <c r="H9" s="15"/>
      <c r="I9" s="14" t="s">
        <v>249</v>
      </c>
      <c r="J9" s="61">
        <f t="shared" si="3"/>
        <v>3150</v>
      </c>
      <c r="K9" s="61"/>
      <c r="L9" s="61">
        <f t="shared" si="1"/>
        <v>3150</v>
      </c>
      <c r="M9" s="15"/>
      <c r="N9" s="15"/>
      <c r="O9" s="15"/>
      <c r="P9" s="14" t="s">
        <v>364</v>
      </c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82">
        <v>107.0</v>
      </c>
      <c r="B10" s="85"/>
      <c r="C10" s="84"/>
      <c r="D10" s="85"/>
      <c r="E10" s="84"/>
      <c r="F10" s="85"/>
      <c r="G10" s="83" t="s">
        <v>11</v>
      </c>
      <c r="H10" s="85"/>
      <c r="I10" s="85"/>
      <c r="J10" s="96">
        <f t="shared" si="3"/>
        <v>0</v>
      </c>
      <c r="K10" s="96"/>
      <c r="L10" s="84">
        <f t="shared" si="1"/>
        <v>0</v>
      </c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</row>
    <row r="11">
      <c r="A11" s="82">
        <v>108.0</v>
      </c>
      <c r="B11" s="85"/>
      <c r="C11" s="84"/>
      <c r="D11" s="85"/>
      <c r="E11" s="84"/>
      <c r="F11" s="85"/>
      <c r="G11" s="83" t="s">
        <v>11</v>
      </c>
      <c r="H11" s="85"/>
      <c r="I11" s="85"/>
      <c r="J11" s="96">
        <f t="shared" si="3"/>
        <v>0</v>
      </c>
      <c r="K11" s="84"/>
      <c r="L11" s="84">
        <f t="shared" si="1"/>
        <v>0</v>
      </c>
      <c r="M11" s="93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</row>
    <row r="12">
      <c r="A12" s="116">
        <v>109.0</v>
      </c>
      <c r="B12" s="117" t="s">
        <v>392</v>
      </c>
      <c r="C12" s="118">
        <v>640.0</v>
      </c>
      <c r="D12" s="116"/>
      <c r="E12" s="121"/>
      <c r="F12" s="119"/>
      <c r="G12" s="117" t="s">
        <v>8</v>
      </c>
      <c r="H12" s="119"/>
      <c r="I12" s="117" t="s">
        <v>249</v>
      </c>
      <c r="J12" s="118">
        <f t="shared" si="3"/>
        <v>640</v>
      </c>
      <c r="K12" s="118"/>
      <c r="L12" s="118">
        <f>sum(J12-K12)</f>
        <v>640</v>
      </c>
      <c r="M12" s="120"/>
      <c r="N12" s="117"/>
      <c r="O12" s="119"/>
      <c r="P12" s="119"/>
      <c r="Q12" s="120">
        <v>45870.0</v>
      </c>
      <c r="R12" s="117">
        <v>8527.0</v>
      </c>
      <c r="S12" s="120">
        <v>45876.0</v>
      </c>
      <c r="T12" s="117">
        <v>8542.0</v>
      </c>
      <c r="U12" s="120"/>
      <c r="V12" s="117">
        <v>8512.0</v>
      </c>
      <c r="W12" s="119"/>
      <c r="X12" s="119"/>
      <c r="Y12" s="119"/>
      <c r="Z12" s="119"/>
      <c r="AA12" s="119"/>
      <c r="AB12" s="119"/>
    </row>
    <row r="13">
      <c r="A13" s="82">
        <v>110.0</v>
      </c>
      <c r="B13" s="83"/>
      <c r="C13" s="84"/>
      <c r="D13" s="83"/>
      <c r="E13" s="84"/>
      <c r="F13" s="85"/>
      <c r="G13" s="83" t="s">
        <v>8</v>
      </c>
      <c r="H13" s="85"/>
      <c r="I13" s="83" t="s">
        <v>249</v>
      </c>
      <c r="J13" s="84">
        <f t="shared" si="3"/>
        <v>0</v>
      </c>
      <c r="K13" s="84"/>
      <c r="L13" s="84">
        <f t="shared" ref="L13:L14" si="4">SUM(J13-K13)</f>
        <v>0</v>
      </c>
      <c r="M13" s="86"/>
      <c r="N13" s="83"/>
      <c r="O13" s="83" t="s">
        <v>140</v>
      </c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</row>
    <row r="14">
      <c r="A14" s="116">
        <v>111.0</v>
      </c>
      <c r="B14" s="117" t="s">
        <v>19</v>
      </c>
      <c r="C14" s="118">
        <v>640.0</v>
      </c>
      <c r="D14" s="116"/>
      <c r="E14" s="121"/>
      <c r="F14" s="119"/>
      <c r="G14" s="117" t="s">
        <v>8</v>
      </c>
      <c r="H14" s="119"/>
      <c r="I14" s="117" t="s">
        <v>253</v>
      </c>
      <c r="J14" s="118">
        <f t="shared" si="3"/>
        <v>640</v>
      </c>
      <c r="K14" s="118"/>
      <c r="L14" s="118">
        <f t="shared" si="4"/>
        <v>640</v>
      </c>
      <c r="M14" s="120"/>
      <c r="N14" s="117"/>
      <c r="O14" s="117" t="s">
        <v>140</v>
      </c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</row>
    <row r="15">
      <c r="A15" s="123">
        <v>112.0</v>
      </c>
      <c r="B15" s="124" t="s">
        <v>397</v>
      </c>
      <c r="C15" s="125">
        <v>600.0</v>
      </c>
      <c r="D15" s="123"/>
      <c r="E15" s="125"/>
      <c r="F15" s="126"/>
      <c r="G15" s="124" t="s">
        <v>11</v>
      </c>
      <c r="H15" s="126"/>
      <c r="I15" s="124" t="s">
        <v>249</v>
      </c>
      <c r="J15" s="125">
        <f t="shared" si="3"/>
        <v>600</v>
      </c>
      <c r="K15" s="125"/>
      <c r="L15" s="125">
        <f t="shared" ref="L15:L17" si="5">sum(J15-K15)</f>
        <v>600</v>
      </c>
      <c r="M15" s="142"/>
      <c r="N15" s="124"/>
      <c r="O15" s="124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</row>
    <row r="16">
      <c r="A16" s="116">
        <v>113.0</v>
      </c>
      <c r="B16" s="117" t="s">
        <v>21</v>
      </c>
      <c r="C16" s="118">
        <v>640.0</v>
      </c>
      <c r="D16" s="116"/>
      <c r="E16" s="118">
        <v>-150.0</v>
      </c>
      <c r="F16" s="117" t="s">
        <v>378</v>
      </c>
      <c r="G16" s="117" t="s">
        <v>8</v>
      </c>
      <c r="H16" s="119"/>
      <c r="I16" s="117" t="s">
        <v>253</v>
      </c>
      <c r="J16" s="118">
        <f t="shared" si="3"/>
        <v>490</v>
      </c>
      <c r="K16" s="118"/>
      <c r="L16" s="118">
        <f t="shared" si="5"/>
        <v>490</v>
      </c>
      <c r="M16" s="135"/>
      <c r="N16" s="117"/>
      <c r="O16" s="117" t="s">
        <v>69</v>
      </c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</row>
    <row r="17">
      <c r="A17" s="82">
        <v>114.0</v>
      </c>
      <c r="B17" s="85"/>
      <c r="C17" s="84"/>
      <c r="D17" s="82"/>
      <c r="E17" s="84"/>
      <c r="F17" s="85"/>
      <c r="G17" s="83" t="s">
        <v>11</v>
      </c>
      <c r="H17" s="85"/>
      <c r="I17" s="83" t="s">
        <v>249</v>
      </c>
      <c r="J17" s="84">
        <f t="shared" si="3"/>
        <v>0</v>
      </c>
      <c r="K17" s="84"/>
      <c r="L17" s="84">
        <f t="shared" si="5"/>
        <v>0</v>
      </c>
      <c r="M17" s="93"/>
      <c r="N17" s="83"/>
      <c r="O17" s="83" t="s">
        <v>69</v>
      </c>
      <c r="P17" s="85"/>
      <c r="Q17" s="86">
        <v>45849.0</v>
      </c>
      <c r="R17" s="83">
        <v>8506.0</v>
      </c>
      <c r="S17" s="86"/>
      <c r="T17" s="85"/>
      <c r="U17" s="85"/>
      <c r="V17" s="85"/>
      <c r="W17" s="85"/>
      <c r="X17" s="85"/>
      <c r="Y17" s="85"/>
      <c r="Z17" s="85"/>
      <c r="AA17" s="85"/>
      <c r="AB17" s="85"/>
    </row>
    <row r="18">
      <c r="A18" s="82">
        <v>215.0</v>
      </c>
      <c r="B18" s="83" t="s">
        <v>473</v>
      </c>
      <c r="C18" s="84"/>
      <c r="D18" s="82"/>
      <c r="E18" s="84"/>
      <c r="F18" s="85"/>
      <c r="G18" s="83" t="s">
        <v>11</v>
      </c>
      <c r="H18" s="85"/>
      <c r="I18" s="83"/>
      <c r="J18" s="84">
        <f t="shared" si="3"/>
        <v>0</v>
      </c>
      <c r="K18" s="84"/>
      <c r="L18" s="84">
        <f>SUM(J18-K18)</f>
        <v>0</v>
      </c>
      <c r="M18" s="86"/>
      <c r="N18" s="83"/>
      <c r="O18" s="83"/>
      <c r="P18" s="85"/>
      <c r="Q18" s="86">
        <v>45849.0</v>
      </c>
      <c r="R18" s="83">
        <v>8504.0</v>
      </c>
      <c r="S18" s="85"/>
      <c r="T18" s="85"/>
      <c r="U18" s="85"/>
      <c r="V18" s="85"/>
      <c r="W18" s="85"/>
      <c r="X18" s="85"/>
      <c r="Y18" s="85"/>
      <c r="Z18" s="85"/>
      <c r="AA18" s="85"/>
      <c r="AB18" s="85"/>
    </row>
    <row r="19">
      <c r="A19" s="116">
        <v>216.0</v>
      </c>
      <c r="B19" s="117" t="s">
        <v>22</v>
      </c>
      <c r="C19" s="118">
        <v>640.0</v>
      </c>
      <c r="D19" s="116"/>
      <c r="E19" s="121"/>
      <c r="F19" s="119"/>
      <c r="G19" s="117" t="s">
        <v>8</v>
      </c>
      <c r="H19" s="119"/>
      <c r="I19" s="117" t="s">
        <v>249</v>
      </c>
      <c r="J19" s="118">
        <f t="shared" si="3"/>
        <v>640</v>
      </c>
      <c r="K19" s="118"/>
      <c r="L19" s="118">
        <f>sum(J19-K19)</f>
        <v>640</v>
      </c>
      <c r="M19" s="120"/>
      <c r="N19" s="117"/>
      <c r="O19" s="117" t="s">
        <v>140</v>
      </c>
      <c r="P19" s="119"/>
      <c r="Q19" s="120">
        <v>45870.0</v>
      </c>
      <c r="R19" s="117">
        <v>8531.0</v>
      </c>
      <c r="S19" s="120"/>
      <c r="T19" s="119"/>
      <c r="U19" s="120"/>
      <c r="V19" s="119"/>
      <c r="W19" s="119"/>
      <c r="X19" s="119"/>
      <c r="Y19" s="119"/>
      <c r="Z19" s="119"/>
      <c r="AA19" s="119"/>
      <c r="AB19" s="119"/>
    </row>
    <row r="20">
      <c r="A20" s="127">
        <v>217.0</v>
      </c>
      <c r="B20" s="117" t="s">
        <v>505</v>
      </c>
      <c r="C20" s="128">
        <v>700.0</v>
      </c>
      <c r="D20" s="127"/>
      <c r="E20" s="128"/>
      <c r="F20" s="129"/>
      <c r="G20" s="130" t="s">
        <v>11</v>
      </c>
      <c r="H20" s="129"/>
      <c r="I20" s="130"/>
      <c r="J20" s="128">
        <f t="shared" si="3"/>
        <v>700</v>
      </c>
      <c r="K20" s="128"/>
      <c r="L20" s="128">
        <f t="shared" ref="L20:L21" si="6">SUM(J20-K20)</f>
        <v>700</v>
      </c>
      <c r="M20" s="143"/>
      <c r="N20" s="130"/>
      <c r="O20" s="130" t="s">
        <v>140</v>
      </c>
      <c r="P20" s="129"/>
      <c r="Q20" s="129"/>
      <c r="R20" s="129"/>
      <c r="S20" s="129"/>
      <c r="T20" s="129"/>
      <c r="U20" s="129"/>
      <c r="V20" s="129"/>
      <c r="W20" s="119"/>
      <c r="X20" s="119"/>
      <c r="Y20" s="119"/>
      <c r="Z20" s="119"/>
      <c r="AA20" s="119"/>
      <c r="AB20" s="119"/>
    </row>
    <row r="21">
      <c r="A21" s="82">
        <v>218.0</v>
      </c>
      <c r="B21" s="85"/>
      <c r="C21" s="84"/>
      <c r="D21" s="82"/>
      <c r="E21" s="84"/>
      <c r="F21" s="83"/>
      <c r="G21" s="83" t="s">
        <v>11</v>
      </c>
      <c r="H21" s="83"/>
      <c r="I21" s="83"/>
      <c r="J21" s="84">
        <f t="shared" si="3"/>
        <v>0</v>
      </c>
      <c r="K21" s="84"/>
      <c r="L21" s="84">
        <f t="shared" si="6"/>
        <v>0</v>
      </c>
      <c r="M21" s="93"/>
      <c r="N21" s="85"/>
      <c r="O21" s="85"/>
      <c r="P21" s="83"/>
      <c r="Q21" s="94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</row>
    <row r="22">
      <c r="A22" s="82">
        <v>219.0</v>
      </c>
      <c r="B22" s="83" t="s">
        <v>508</v>
      </c>
      <c r="C22" s="84"/>
      <c r="D22" s="82"/>
      <c r="E22" s="84"/>
      <c r="F22" s="85"/>
      <c r="G22" s="83" t="s">
        <v>11</v>
      </c>
      <c r="H22" s="85"/>
      <c r="I22" s="83" t="s">
        <v>266</v>
      </c>
      <c r="J22" s="84">
        <f t="shared" si="3"/>
        <v>0</v>
      </c>
      <c r="K22" s="84"/>
      <c r="L22" s="84">
        <f>sum(J22-K22)</f>
        <v>0</v>
      </c>
      <c r="M22" s="86"/>
      <c r="N22" s="83"/>
      <c r="O22" s="83" t="s">
        <v>80</v>
      </c>
      <c r="P22" s="85"/>
      <c r="Q22" s="86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</row>
    <row r="23">
      <c r="A23" s="50">
        <v>220.0</v>
      </c>
      <c r="B23" s="51" t="s">
        <v>447</v>
      </c>
      <c r="C23" s="53">
        <v>700.0</v>
      </c>
      <c r="D23" s="50"/>
      <c r="E23" s="53"/>
      <c r="F23" s="52"/>
      <c r="G23" s="51" t="s">
        <v>8</v>
      </c>
      <c r="H23" s="52"/>
      <c r="I23" s="51" t="s">
        <v>249</v>
      </c>
      <c r="J23" s="53">
        <f t="shared" si="3"/>
        <v>700</v>
      </c>
      <c r="K23" s="53"/>
      <c r="L23" s="53">
        <f t="shared" ref="L23:L27" si="7">SUM(J23-K23)</f>
        <v>700</v>
      </c>
      <c r="M23" s="105"/>
      <c r="N23" s="51"/>
      <c r="O23" s="51" t="s">
        <v>140</v>
      </c>
      <c r="P23" s="52"/>
      <c r="Q23" s="105">
        <v>45877.0</v>
      </c>
      <c r="R23" s="51">
        <v>8547.0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>
      <c r="A24" s="116">
        <v>221.0</v>
      </c>
      <c r="B24" s="117" t="s">
        <v>25</v>
      </c>
      <c r="C24" s="118">
        <v>700.0</v>
      </c>
      <c r="D24" s="116"/>
      <c r="E24" s="118"/>
      <c r="F24" s="119"/>
      <c r="G24" s="117" t="s">
        <v>8</v>
      </c>
      <c r="H24" s="119"/>
      <c r="I24" s="117" t="s">
        <v>253</v>
      </c>
      <c r="J24" s="118">
        <f t="shared" si="3"/>
        <v>700</v>
      </c>
      <c r="K24" s="118"/>
      <c r="L24" s="118">
        <f t="shared" si="7"/>
        <v>700</v>
      </c>
      <c r="M24" s="134"/>
      <c r="N24" s="117"/>
      <c r="O24" s="117" t="s">
        <v>140</v>
      </c>
      <c r="P24" s="119"/>
      <c r="Q24" s="120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>
      <c r="A25" s="116">
        <v>222.0</v>
      </c>
      <c r="B25" s="117" t="s">
        <v>515</v>
      </c>
      <c r="C25" s="118">
        <v>700.0</v>
      </c>
      <c r="D25" s="119"/>
      <c r="E25" s="118"/>
      <c r="F25" s="119"/>
      <c r="G25" s="117" t="s">
        <v>11</v>
      </c>
      <c r="H25" s="119"/>
      <c r="I25" s="117"/>
      <c r="J25" s="118">
        <f t="shared" si="3"/>
        <v>700</v>
      </c>
      <c r="K25" s="118"/>
      <c r="L25" s="118">
        <f t="shared" si="7"/>
        <v>700</v>
      </c>
      <c r="M25" s="119"/>
      <c r="N25" s="119"/>
      <c r="O25" s="119"/>
      <c r="P25" s="119"/>
      <c r="Q25" s="120"/>
      <c r="R25" s="119"/>
      <c r="S25" s="120"/>
      <c r="T25" s="119"/>
      <c r="U25" s="119"/>
      <c r="V25" s="119"/>
      <c r="W25" s="119"/>
      <c r="X25" s="119"/>
      <c r="Y25" s="119"/>
      <c r="Z25" s="119"/>
      <c r="AA25" s="119"/>
      <c r="AB25" s="119"/>
    </row>
    <row r="26">
      <c r="A26" s="82">
        <v>223.0</v>
      </c>
      <c r="B26" s="85"/>
      <c r="C26" s="84"/>
      <c r="D26" s="85"/>
      <c r="E26" s="84"/>
      <c r="F26" s="85"/>
      <c r="G26" s="83" t="s">
        <v>11</v>
      </c>
      <c r="H26" s="85"/>
      <c r="I26" s="85"/>
      <c r="J26" s="96">
        <f t="shared" si="3"/>
        <v>0</v>
      </c>
      <c r="K26" s="96"/>
      <c r="L26" s="84">
        <f t="shared" si="7"/>
        <v>0</v>
      </c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</row>
    <row r="27">
      <c r="A27" s="82">
        <v>224.0</v>
      </c>
      <c r="B27" s="85"/>
      <c r="C27" s="84"/>
      <c r="D27" s="85"/>
      <c r="E27" s="84"/>
      <c r="F27" s="85"/>
      <c r="G27" s="83" t="s">
        <v>11</v>
      </c>
      <c r="H27" s="85"/>
      <c r="I27" s="103"/>
      <c r="J27" s="96">
        <f>Sum(C27+E27)</f>
        <v>0</v>
      </c>
      <c r="K27" s="96"/>
      <c r="L27" s="84">
        <f t="shared" si="7"/>
        <v>0</v>
      </c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</row>
    <row r="28">
      <c r="A28" s="116">
        <v>225.0</v>
      </c>
      <c r="B28" s="117"/>
      <c r="C28" s="118">
        <v>640.0</v>
      </c>
      <c r="D28" s="116"/>
      <c r="E28" s="118"/>
      <c r="F28" s="119"/>
      <c r="G28" s="117" t="s">
        <v>11</v>
      </c>
      <c r="H28" s="119"/>
      <c r="I28" s="117" t="s">
        <v>249</v>
      </c>
      <c r="J28" s="118">
        <f t="shared" ref="J28:J33" si="8">sum(C28+E28)</f>
        <v>640</v>
      </c>
      <c r="K28" s="133"/>
      <c r="L28" s="118">
        <f>sum(J28-K28)</f>
        <v>640</v>
      </c>
      <c r="M28" s="135"/>
      <c r="N28" s="117"/>
      <c r="O28" s="117" t="s">
        <v>80</v>
      </c>
      <c r="P28" s="119"/>
      <c r="Q28" s="120">
        <v>45869.0</v>
      </c>
      <c r="R28" s="117">
        <v>8528.0</v>
      </c>
      <c r="S28" s="135">
        <v>45875.0</v>
      </c>
      <c r="T28" s="117">
        <v>8541.0</v>
      </c>
      <c r="U28" s="117" t="s">
        <v>366</v>
      </c>
      <c r="V28" s="119"/>
      <c r="W28" s="119"/>
      <c r="X28" s="119"/>
      <c r="Y28" s="119"/>
      <c r="Z28" s="119"/>
      <c r="AA28" s="119"/>
      <c r="AB28" s="119"/>
    </row>
    <row r="29">
      <c r="A29" s="116">
        <v>226.0</v>
      </c>
      <c r="B29" s="117" t="s">
        <v>27</v>
      </c>
      <c r="C29" s="118">
        <v>640.0</v>
      </c>
      <c r="D29" s="116"/>
      <c r="E29" s="118"/>
      <c r="F29" s="119"/>
      <c r="G29" s="117" t="s">
        <v>11</v>
      </c>
      <c r="H29" s="119"/>
      <c r="I29" s="117"/>
      <c r="J29" s="118">
        <f t="shared" si="8"/>
        <v>640</v>
      </c>
      <c r="K29" s="132"/>
      <c r="L29" s="118">
        <f t="shared" ref="L29:L33" si="9">SUM(J29-K29)</f>
        <v>640</v>
      </c>
      <c r="M29" s="135"/>
      <c r="N29" s="117"/>
      <c r="O29" s="117" t="s">
        <v>140</v>
      </c>
      <c r="P29" s="119"/>
      <c r="Q29" s="120"/>
      <c r="R29" s="117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>
      <c r="A30" s="116">
        <v>227.0</v>
      </c>
      <c r="B30" s="117" t="s">
        <v>28</v>
      </c>
      <c r="C30" s="118">
        <v>640.0</v>
      </c>
      <c r="D30" s="116"/>
      <c r="E30" s="121"/>
      <c r="F30" s="119"/>
      <c r="G30" s="117" t="s">
        <v>11</v>
      </c>
      <c r="H30" s="119"/>
      <c r="I30" s="117" t="s">
        <v>253</v>
      </c>
      <c r="J30" s="118">
        <f t="shared" si="8"/>
        <v>640</v>
      </c>
      <c r="K30" s="132"/>
      <c r="L30" s="118">
        <f t="shared" si="9"/>
        <v>640</v>
      </c>
      <c r="M30" s="134"/>
      <c r="N30" s="117"/>
      <c r="O30" s="117" t="s">
        <v>140</v>
      </c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>
      <c r="A31" s="116">
        <v>228.0</v>
      </c>
      <c r="B31" s="117" t="s">
        <v>29</v>
      </c>
      <c r="C31" s="118">
        <v>640.0</v>
      </c>
      <c r="D31" s="116"/>
      <c r="E31" s="118"/>
      <c r="F31" s="119"/>
      <c r="G31" s="117" t="s">
        <v>8</v>
      </c>
      <c r="H31" s="119"/>
      <c r="I31" s="117" t="s">
        <v>266</v>
      </c>
      <c r="J31" s="118">
        <f t="shared" si="8"/>
        <v>640</v>
      </c>
      <c r="K31" s="133"/>
      <c r="L31" s="118">
        <f t="shared" si="9"/>
        <v>640</v>
      </c>
      <c r="M31" s="120"/>
      <c r="N31" s="117"/>
      <c r="O31" s="117" t="s">
        <v>341</v>
      </c>
      <c r="P31" s="119"/>
      <c r="Q31" s="120">
        <v>45877.0</v>
      </c>
      <c r="R31" s="117">
        <v>8545.0</v>
      </c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>
      <c r="A32" s="116">
        <v>229.0</v>
      </c>
      <c r="B32" s="117" t="s">
        <v>71</v>
      </c>
      <c r="C32" s="118">
        <v>640.0</v>
      </c>
      <c r="D32" s="116"/>
      <c r="E32" s="121"/>
      <c r="F32" s="119"/>
      <c r="G32" s="117" t="s">
        <v>8</v>
      </c>
      <c r="H32" s="119"/>
      <c r="I32" s="117" t="s">
        <v>326</v>
      </c>
      <c r="J32" s="118">
        <f t="shared" si="8"/>
        <v>640</v>
      </c>
      <c r="K32" s="132"/>
      <c r="L32" s="118">
        <f t="shared" si="9"/>
        <v>640</v>
      </c>
      <c r="M32" s="120"/>
      <c r="N32" s="117"/>
      <c r="O32" s="117" t="s">
        <v>140</v>
      </c>
      <c r="P32" s="119"/>
      <c r="Q32" s="120">
        <v>45877.0</v>
      </c>
      <c r="R32" s="117">
        <v>8544.0</v>
      </c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>
      <c r="A33" s="116">
        <v>230.0</v>
      </c>
      <c r="B33" s="117" t="s">
        <v>420</v>
      </c>
      <c r="C33" s="118">
        <v>640.0</v>
      </c>
      <c r="D33" s="116"/>
      <c r="E33" s="118"/>
      <c r="F33" s="119"/>
      <c r="G33" s="117" t="s">
        <v>8</v>
      </c>
      <c r="H33" s="119"/>
      <c r="I33" s="117" t="s">
        <v>249</v>
      </c>
      <c r="J33" s="118">
        <f t="shared" si="8"/>
        <v>640</v>
      </c>
      <c r="K33" s="133"/>
      <c r="L33" s="118">
        <f t="shared" si="9"/>
        <v>640</v>
      </c>
      <c r="M33" s="120"/>
      <c r="N33" s="117"/>
      <c r="O33" s="117" t="s">
        <v>140</v>
      </c>
      <c r="P33" s="119"/>
      <c r="Q33" s="120">
        <v>45870.0</v>
      </c>
      <c r="R33" s="117">
        <v>8535.0</v>
      </c>
      <c r="S33" s="120"/>
      <c r="T33" s="119"/>
      <c r="U33" s="120"/>
      <c r="V33" s="119"/>
      <c r="W33" s="119"/>
      <c r="X33" s="119"/>
      <c r="Y33" s="119"/>
      <c r="Z33" s="119"/>
      <c r="AA33" s="119"/>
      <c r="AB33" s="119"/>
    </row>
    <row r="34">
      <c r="W34" s="17"/>
      <c r="X34" s="17"/>
      <c r="Y34" s="17"/>
      <c r="Z34" s="17"/>
      <c r="AA34" s="17"/>
      <c r="AB34" s="17"/>
    </row>
    <row r="35">
      <c r="A35" s="12" t="s">
        <v>197</v>
      </c>
      <c r="B35" s="17"/>
      <c r="C35" s="63">
        <f>SUM(C3:C33)</f>
        <v>14700</v>
      </c>
      <c r="D35" s="17"/>
      <c r="E35" s="63">
        <f>SUM(E3:E33)</f>
        <v>2300</v>
      </c>
      <c r="F35" s="17"/>
      <c r="G35" s="17">
        <f t="array" ref="G35">COUNTIF(G3:G33,"y")</f>
        <v>17</v>
      </c>
      <c r="H35" s="17"/>
      <c r="I35" s="17"/>
      <c r="J35" s="63">
        <f t="shared" ref="J35:L35" si="10">SUM(J3:J33)</f>
        <v>17000</v>
      </c>
      <c r="K35" s="63">
        <f t="shared" si="10"/>
        <v>0</v>
      </c>
      <c r="L35" s="63">
        <f t="shared" si="10"/>
        <v>17000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7">
      <c r="W37" s="19"/>
      <c r="X37" s="19"/>
      <c r="Y37" s="19"/>
      <c r="Z37" s="19"/>
      <c r="AA37" s="19"/>
      <c r="AB37" s="19"/>
    </row>
    <row r="38">
      <c r="A38" s="18" t="s">
        <v>34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21"/>
      <c r="X38" s="21"/>
      <c r="Y38" s="21"/>
      <c r="Z38" s="21"/>
      <c r="AA38" s="21"/>
      <c r="AB38" s="21"/>
    </row>
    <row r="39">
      <c r="A39" s="20" t="s">
        <v>198</v>
      </c>
      <c r="B39" s="20" t="s">
        <v>121</v>
      </c>
      <c r="C39" s="21"/>
      <c r="D39" s="20" t="s">
        <v>199</v>
      </c>
      <c r="E39" s="20">
        <v>1.0</v>
      </c>
      <c r="F39" s="20">
        <v>2.0</v>
      </c>
      <c r="G39" s="20">
        <v>3.0</v>
      </c>
      <c r="H39" s="20">
        <v>4.0</v>
      </c>
      <c r="I39" s="20"/>
      <c r="J39" s="20">
        <v>5.0</v>
      </c>
      <c r="K39" s="20">
        <v>6.0</v>
      </c>
      <c r="L39" s="20">
        <v>7.0</v>
      </c>
      <c r="M39" s="20">
        <v>8.0</v>
      </c>
      <c r="N39" s="20">
        <v>9.0</v>
      </c>
      <c r="O39" s="22" t="s">
        <v>200</v>
      </c>
      <c r="P39" s="21"/>
      <c r="Q39" s="21"/>
      <c r="R39" s="21"/>
      <c r="S39" s="21"/>
      <c r="T39" s="21"/>
      <c r="U39" s="21"/>
      <c r="V39" s="21"/>
    </row>
    <row r="40">
      <c r="A40" s="7" t="s">
        <v>122</v>
      </c>
      <c r="B40" s="42">
        <f>O49</f>
        <v>2000</v>
      </c>
      <c r="D40" s="7" t="s">
        <v>61</v>
      </c>
      <c r="E40" s="7">
        <v>500.0</v>
      </c>
      <c r="F40" s="7">
        <v>500.0</v>
      </c>
      <c r="G40" s="7">
        <v>500.0</v>
      </c>
      <c r="H40" s="7">
        <v>500.0</v>
      </c>
      <c r="O40" s="17">
        <f t="shared" ref="O40:O41" si="11">SUM(E40:N40)</f>
        <v>2000</v>
      </c>
    </row>
    <row r="41">
      <c r="A41" s="7" t="s">
        <v>123</v>
      </c>
      <c r="B41" s="42">
        <v>0.0</v>
      </c>
      <c r="D41" s="7" t="s">
        <v>477</v>
      </c>
      <c r="O41" s="17">
        <f t="shared" si="11"/>
        <v>0</v>
      </c>
    </row>
    <row r="42">
      <c r="A42" s="7" t="s">
        <v>127</v>
      </c>
      <c r="B42" s="42">
        <v>119.43</v>
      </c>
      <c r="D42" s="7" t="s">
        <v>462</v>
      </c>
      <c r="E42" s="7">
        <v>600.0</v>
      </c>
      <c r="F42" s="7">
        <v>600.0</v>
      </c>
      <c r="G42" s="7">
        <v>600.0</v>
      </c>
      <c r="H42" s="7">
        <v>600.0</v>
      </c>
      <c r="O42" s="17"/>
    </row>
    <row r="43">
      <c r="A43" s="7" t="s">
        <v>124</v>
      </c>
      <c r="B43" s="42">
        <v>2029.19</v>
      </c>
      <c r="D43" s="7" t="s">
        <v>297</v>
      </c>
      <c r="O43" s="17">
        <f t="shared" ref="O43:O48" si="12">SUM(E43:N43)</f>
        <v>0</v>
      </c>
    </row>
    <row r="44">
      <c r="A44" s="7" t="s">
        <v>125</v>
      </c>
      <c r="B44" s="42">
        <v>170.5</v>
      </c>
      <c r="O44" s="17">
        <f t="shared" si="12"/>
        <v>0</v>
      </c>
    </row>
    <row r="45">
      <c r="A45" s="7" t="s">
        <v>126</v>
      </c>
      <c r="B45" s="42">
        <v>364.44</v>
      </c>
      <c r="O45" s="17">
        <f t="shared" si="12"/>
        <v>0</v>
      </c>
    </row>
    <row r="46">
      <c r="A46" s="7" t="s">
        <v>128</v>
      </c>
      <c r="B46" s="42">
        <v>918.21</v>
      </c>
      <c r="O46" s="17">
        <f t="shared" si="12"/>
        <v>0</v>
      </c>
    </row>
    <row r="47">
      <c r="A47" s="7" t="s">
        <v>129</v>
      </c>
      <c r="B47" s="42">
        <v>1000.0</v>
      </c>
      <c r="D47" s="7"/>
      <c r="O47" s="17">
        <f t="shared" si="12"/>
        <v>0</v>
      </c>
    </row>
    <row r="48">
      <c r="A48" s="7" t="s">
        <v>207</v>
      </c>
      <c r="B48" s="42">
        <v>828.78</v>
      </c>
      <c r="D48" s="7"/>
      <c r="E48" s="7"/>
      <c r="F48" s="7"/>
      <c r="G48" s="7"/>
      <c r="H48" s="7"/>
      <c r="J48" s="7"/>
      <c r="K48" s="7"/>
      <c r="O48" s="17">
        <f t="shared" si="12"/>
        <v>0</v>
      </c>
    </row>
    <row r="49">
      <c r="A49" s="7" t="s">
        <v>381</v>
      </c>
      <c r="B49" s="43" t="str">
        <f>E80</f>
        <v/>
      </c>
      <c r="O49" s="17">
        <f>SUM(O40:O48)</f>
        <v>2000</v>
      </c>
    </row>
    <row r="50">
      <c r="B50" s="43"/>
      <c r="W50" s="17"/>
      <c r="X50" s="17"/>
      <c r="Y50" s="17"/>
      <c r="Z50" s="17"/>
      <c r="AA50" s="17"/>
      <c r="AB50" s="17"/>
    </row>
    <row r="51">
      <c r="A51" s="7" t="s">
        <v>200</v>
      </c>
      <c r="B51" s="43">
        <f>SUM(B40:B49)</f>
        <v>7430.55</v>
      </c>
    </row>
    <row r="52">
      <c r="A52" s="17"/>
      <c r="B52" s="17"/>
      <c r="C52" s="17"/>
      <c r="D52" s="22" t="s">
        <v>209</v>
      </c>
      <c r="E52" s="22" t="s">
        <v>121</v>
      </c>
      <c r="F52" s="22" t="s">
        <v>210</v>
      </c>
      <c r="G52" s="22" t="s">
        <v>211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</row>
    <row r="53">
      <c r="B53" s="7" t="s">
        <v>347</v>
      </c>
      <c r="C53" s="7" t="s">
        <v>348</v>
      </c>
    </row>
    <row r="54">
      <c r="A54" s="7" t="s">
        <v>214</v>
      </c>
      <c r="B54" s="42">
        <f t="shared" ref="B54:C54" si="13">J35</f>
        <v>17000</v>
      </c>
      <c r="C54" s="42">
        <f t="shared" si="13"/>
        <v>0</v>
      </c>
      <c r="E54" s="42"/>
    </row>
    <row r="55">
      <c r="A55" s="7" t="s">
        <v>217</v>
      </c>
      <c r="B55" s="43">
        <f>B51</f>
        <v>7430.55</v>
      </c>
      <c r="C55" s="43">
        <f>B51</f>
        <v>7430.55</v>
      </c>
      <c r="E55" s="42"/>
    </row>
    <row r="56">
      <c r="E56" s="42"/>
    </row>
    <row r="57">
      <c r="A57" s="44" t="s">
        <v>221</v>
      </c>
      <c r="B57" s="74">
        <f>B54-B55</f>
        <v>9569.45</v>
      </c>
      <c r="C57" s="74">
        <f>SUM(C54-C55)</f>
        <v>-7430.55</v>
      </c>
      <c r="D57" s="75"/>
      <c r="E57" s="42"/>
    </row>
    <row r="58">
      <c r="E58" s="43"/>
    </row>
    <row r="59">
      <c r="A59" s="7" t="s">
        <v>361</v>
      </c>
      <c r="E59" s="43"/>
    </row>
    <row r="60">
      <c r="E60" s="43"/>
    </row>
    <row r="61">
      <c r="E61" s="43"/>
    </row>
    <row r="62">
      <c r="E62" s="43"/>
    </row>
    <row r="63">
      <c r="E63" s="42"/>
    </row>
    <row r="64">
      <c r="E64" s="42"/>
    </row>
    <row r="65">
      <c r="E65" s="42"/>
    </row>
    <row r="66">
      <c r="E66" s="43"/>
    </row>
    <row r="67">
      <c r="E67" s="43"/>
    </row>
    <row r="68">
      <c r="E68" s="43"/>
    </row>
    <row r="69">
      <c r="E69" s="43"/>
    </row>
    <row r="70">
      <c r="E70" s="43"/>
    </row>
    <row r="71">
      <c r="E71" s="43"/>
    </row>
    <row r="72">
      <c r="E72" s="43"/>
    </row>
    <row r="73">
      <c r="E73" s="43"/>
    </row>
    <row r="74">
      <c r="E74" s="43"/>
    </row>
    <row r="75">
      <c r="E75" s="43"/>
    </row>
    <row r="76">
      <c r="D76" s="7"/>
      <c r="E76" s="43"/>
    </row>
    <row r="77">
      <c r="D77" s="7"/>
      <c r="E77" s="43"/>
    </row>
    <row r="78">
      <c r="D78" s="7" t="s">
        <v>200</v>
      </c>
      <c r="E78" s="43">
        <f>SUM(E51:E74)</f>
        <v>0</v>
      </c>
    </row>
  </sheetData>
  <conditionalFormatting sqref="B1">
    <cfRule type="notContainsBlanks" dxfId="9" priority="1">
      <formula>LEN(TRIM(B1))&gt;0</formula>
    </cfRule>
  </conditionalFormatting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18.25"/>
  </cols>
  <sheetData>
    <row r="1">
      <c r="A1" s="7" t="s">
        <v>530</v>
      </c>
      <c r="B1" s="7" t="s">
        <v>531</v>
      </c>
      <c r="C1" s="7" t="s">
        <v>532</v>
      </c>
      <c r="D1" s="7" t="s">
        <v>533</v>
      </c>
      <c r="E1" s="7" t="s">
        <v>534</v>
      </c>
      <c r="F1" s="7" t="s">
        <v>535</v>
      </c>
      <c r="G1" s="7" t="s">
        <v>536</v>
      </c>
      <c r="H1" s="7" t="s">
        <v>537</v>
      </c>
      <c r="I1" s="7" t="s">
        <v>538</v>
      </c>
      <c r="J1" s="7" t="s">
        <v>539</v>
      </c>
      <c r="K1" s="7" t="s">
        <v>540</v>
      </c>
      <c r="L1" s="7" t="s">
        <v>541</v>
      </c>
      <c r="M1" s="7" t="s">
        <v>542</v>
      </c>
    </row>
    <row r="3">
      <c r="A3" s="7" t="s">
        <v>122</v>
      </c>
      <c r="B3" s="7">
        <v>4000.0</v>
      </c>
      <c r="D3" s="7">
        <f>March!O48</f>
        <v>5584</v>
      </c>
    </row>
    <row r="4">
      <c r="A4" s="7" t="s">
        <v>123</v>
      </c>
      <c r="B4" s="7">
        <v>0.0</v>
      </c>
      <c r="C4" s="7">
        <v>9000.0</v>
      </c>
      <c r="D4" s="7">
        <v>0.0</v>
      </c>
    </row>
    <row r="5">
      <c r="A5" s="7" t="s">
        <v>124</v>
      </c>
      <c r="B5" s="7">
        <v>991.0</v>
      </c>
      <c r="D5" s="7">
        <v>928.4</v>
      </c>
    </row>
    <row r="6">
      <c r="A6" s="7" t="s">
        <v>125</v>
      </c>
      <c r="B6" s="7">
        <v>385.0</v>
      </c>
      <c r="D6" s="7">
        <v>170.5</v>
      </c>
    </row>
    <row r="7">
      <c r="A7" s="7" t="s">
        <v>126</v>
      </c>
      <c r="B7" s="7">
        <v>280.0</v>
      </c>
      <c r="D7" s="7">
        <v>364.44</v>
      </c>
    </row>
    <row r="8">
      <c r="A8" s="7" t="s">
        <v>127</v>
      </c>
      <c r="B8" s="7"/>
      <c r="D8" s="7">
        <v>109.57</v>
      </c>
    </row>
    <row r="9">
      <c r="A9" s="7" t="s">
        <v>128</v>
      </c>
      <c r="B9" s="7">
        <v>991.0</v>
      </c>
      <c r="D9" s="7">
        <v>991.0</v>
      </c>
    </row>
    <row r="10">
      <c r="A10" s="7" t="s">
        <v>129</v>
      </c>
      <c r="B10" s="7">
        <v>1000.0</v>
      </c>
    </row>
    <row r="12">
      <c r="A12" s="7" t="s">
        <v>200</v>
      </c>
      <c r="B12" s="9">
        <f>SUM(B2:B10)</f>
        <v>7647</v>
      </c>
      <c r="C12" s="9">
        <f t="shared" ref="C12:E12" si="1">SUM(C3:C10)</f>
        <v>9000</v>
      </c>
      <c r="D12" s="9">
        <f t="shared" si="1"/>
        <v>8147.91</v>
      </c>
      <c r="E12" s="9">
        <f t="shared" si="1"/>
        <v>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0.0"/>
    <col customWidth="1" min="3" max="3" width="18.5"/>
    <col customWidth="1" min="4" max="4" width="22.13"/>
    <col customWidth="1" min="5" max="5" width="38.38"/>
    <col customWidth="1" min="6" max="6" width="20.25"/>
    <col customWidth="1" min="7" max="7" width="15.75"/>
    <col customWidth="1" min="8" max="8" width="32.0"/>
  </cols>
  <sheetData>
    <row r="1">
      <c r="A1" s="7" t="s">
        <v>543</v>
      </c>
      <c r="B1" s="7" t="s">
        <v>544</v>
      </c>
      <c r="C1" s="7" t="s">
        <v>121</v>
      </c>
      <c r="D1" s="7" t="s">
        <v>211</v>
      </c>
      <c r="E1" s="7" t="s">
        <v>545</v>
      </c>
      <c r="F1" s="7" t="s">
        <v>546</v>
      </c>
      <c r="G1" s="7" t="s">
        <v>547</v>
      </c>
      <c r="H1" s="7" t="s">
        <v>7</v>
      </c>
      <c r="I1" s="7" t="s">
        <v>548</v>
      </c>
      <c r="J1" s="7" t="s">
        <v>549</v>
      </c>
      <c r="K1" s="7" t="s">
        <v>550</v>
      </c>
    </row>
    <row r="2">
      <c r="A2" s="7" t="s">
        <v>551</v>
      </c>
      <c r="B2" s="7">
        <v>3.0</v>
      </c>
      <c r="C2" s="144">
        <v>10.0</v>
      </c>
      <c r="D2" s="7" t="s">
        <v>552</v>
      </c>
      <c r="G2" s="7" t="s">
        <v>553</v>
      </c>
    </row>
    <row r="3">
      <c r="A3" s="7" t="s">
        <v>554</v>
      </c>
      <c r="B3" s="7">
        <v>1.0</v>
      </c>
      <c r="C3" s="144">
        <v>65.0</v>
      </c>
      <c r="D3" s="7" t="s">
        <v>555</v>
      </c>
      <c r="G3" s="7" t="s">
        <v>553</v>
      </c>
    </row>
    <row r="4">
      <c r="A4" s="7" t="s">
        <v>556</v>
      </c>
      <c r="B4" s="7">
        <v>4.0</v>
      </c>
      <c r="D4" s="7" t="s">
        <v>552</v>
      </c>
      <c r="G4" s="7" t="s">
        <v>553</v>
      </c>
    </row>
    <row r="5">
      <c r="A5" s="7" t="s">
        <v>557</v>
      </c>
      <c r="B5" s="7">
        <v>2.0</v>
      </c>
      <c r="C5" s="144">
        <v>50.0</v>
      </c>
      <c r="D5" s="7" t="s">
        <v>558</v>
      </c>
      <c r="G5" s="7" t="s">
        <v>553</v>
      </c>
    </row>
    <row r="6">
      <c r="A6" s="7" t="s">
        <v>559</v>
      </c>
      <c r="B6" s="7">
        <v>3.0</v>
      </c>
      <c r="C6" s="144">
        <v>40.0</v>
      </c>
      <c r="D6" s="7" t="s">
        <v>560</v>
      </c>
      <c r="G6" s="7" t="s">
        <v>561</v>
      </c>
    </row>
    <row r="7">
      <c r="A7" s="7" t="s">
        <v>562</v>
      </c>
      <c r="B7" s="7">
        <v>1.0</v>
      </c>
      <c r="C7" s="145">
        <v>100.0</v>
      </c>
      <c r="D7" s="7" t="s">
        <v>563</v>
      </c>
      <c r="F7" s="7" t="s">
        <v>564</v>
      </c>
      <c r="G7" s="7" t="s">
        <v>297</v>
      </c>
    </row>
    <row r="8">
      <c r="A8" s="7" t="s">
        <v>565</v>
      </c>
      <c r="B8" s="7">
        <v>1.0</v>
      </c>
      <c r="C8" s="7" t="s">
        <v>566</v>
      </c>
      <c r="D8" s="7" t="s">
        <v>567</v>
      </c>
      <c r="F8" s="7" t="s">
        <v>568</v>
      </c>
      <c r="G8" s="7" t="s">
        <v>297</v>
      </c>
    </row>
    <row r="9">
      <c r="A9" s="7" t="s">
        <v>569</v>
      </c>
      <c r="D9" s="146" t="s">
        <v>570</v>
      </c>
    </row>
    <row r="10">
      <c r="A10" s="7" t="s">
        <v>571</v>
      </c>
      <c r="B10" s="7">
        <v>2.0</v>
      </c>
      <c r="C10" s="144">
        <v>10.0</v>
      </c>
      <c r="D10" s="7" t="s">
        <v>560</v>
      </c>
      <c r="G10" s="7" t="s">
        <v>561</v>
      </c>
    </row>
    <row r="11">
      <c r="A11" s="7" t="s">
        <v>572</v>
      </c>
      <c r="B11" s="7" t="s">
        <v>573</v>
      </c>
      <c r="C11" s="144">
        <v>50.0</v>
      </c>
      <c r="D11" s="7" t="s">
        <v>574</v>
      </c>
      <c r="F11" s="7" t="s">
        <v>575</v>
      </c>
      <c r="G11" s="7" t="s">
        <v>576</v>
      </c>
    </row>
  </sheetData>
  <hyperlinks>
    <hyperlink r:id="rId1" ref="D9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  <col customWidth="1" min="2" max="2" width="27.25"/>
    <col customWidth="1" min="3" max="3" width="20.25"/>
    <col customWidth="1" min="4" max="4" width="22.0"/>
    <col customWidth="1" min="6" max="6" width="10.25"/>
    <col customWidth="1" min="8" max="8" width="19.5"/>
    <col customWidth="1" min="9" max="9" width="18.5"/>
    <col customWidth="1" min="10" max="10" width="22.88"/>
    <col customWidth="1" min="11" max="11" width="18.38"/>
  </cols>
  <sheetData>
    <row r="1">
      <c r="A1" s="147">
        <v>8.0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</row>
    <row r="2">
      <c r="A2" s="149" t="s">
        <v>547</v>
      </c>
      <c r="B2" s="149" t="s">
        <v>121</v>
      </c>
      <c r="C2" s="149" t="s">
        <v>577</v>
      </c>
      <c r="D2" s="149" t="s">
        <v>200</v>
      </c>
      <c r="E2" s="148"/>
      <c r="F2" s="148"/>
      <c r="G2" s="149" t="s">
        <v>578</v>
      </c>
      <c r="H2" s="149" t="s">
        <v>579</v>
      </c>
      <c r="I2" s="149" t="s">
        <v>580</v>
      </c>
      <c r="J2" s="149" t="s">
        <v>581</v>
      </c>
      <c r="K2" s="149" t="s">
        <v>582</v>
      </c>
    </row>
    <row r="3">
      <c r="A3" s="148" t="s">
        <v>201</v>
      </c>
      <c r="B3" s="150">
        <v>10.0</v>
      </c>
      <c r="C3" s="151">
        <f t="shared" ref="C3:C6" si="1">SUM(G3:K3)</f>
        <v>25.5</v>
      </c>
      <c r="D3" s="150">
        <f t="shared" ref="D3:D6" si="2">B3*C3</f>
        <v>255</v>
      </c>
      <c r="E3" s="151">
        <v>-255.0</v>
      </c>
      <c r="F3" s="148"/>
      <c r="G3" s="151">
        <v>4.5</v>
      </c>
      <c r="H3" s="151">
        <v>4.5</v>
      </c>
      <c r="I3" s="151">
        <v>4.5</v>
      </c>
      <c r="J3" s="151">
        <v>4.5</v>
      </c>
      <c r="K3" s="151">
        <v>7.5</v>
      </c>
    </row>
    <row r="4">
      <c r="A4" s="148" t="s">
        <v>583</v>
      </c>
      <c r="B4" s="152">
        <v>12.5</v>
      </c>
      <c r="C4" s="151">
        <f t="shared" si="1"/>
        <v>40</v>
      </c>
      <c r="D4" s="150">
        <f t="shared" si="2"/>
        <v>500</v>
      </c>
      <c r="E4" s="151">
        <v>-500.0</v>
      </c>
      <c r="F4" s="148"/>
      <c r="G4" s="151">
        <v>8.0</v>
      </c>
      <c r="H4" s="151">
        <v>8.0</v>
      </c>
      <c r="I4" s="151">
        <v>8.0</v>
      </c>
      <c r="J4" s="151">
        <v>8.0</v>
      </c>
      <c r="K4" s="151">
        <v>8.0</v>
      </c>
    </row>
    <row r="5">
      <c r="A5" s="148" t="s">
        <v>297</v>
      </c>
      <c r="B5" s="150">
        <v>12.5</v>
      </c>
      <c r="C5" s="151">
        <f t="shared" si="1"/>
        <v>29</v>
      </c>
      <c r="D5" s="150">
        <f t="shared" si="2"/>
        <v>362.5</v>
      </c>
      <c r="E5" s="151">
        <v>-250.0</v>
      </c>
      <c r="F5" s="148"/>
      <c r="G5" s="151">
        <v>8.0</v>
      </c>
      <c r="H5" s="151">
        <v>8.0</v>
      </c>
      <c r="I5" s="151">
        <v>8.0</v>
      </c>
      <c r="J5" s="151">
        <v>0.0</v>
      </c>
      <c r="K5" s="151">
        <v>5.0</v>
      </c>
    </row>
    <row r="6">
      <c r="A6" s="148" t="s">
        <v>206</v>
      </c>
      <c r="B6" s="152">
        <v>10.0</v>
      </c>
      <c r="C6" s="151">
        <f t="shared" si="1"/>
        <v>23.5</v>
      </c>
      <c r="D6" s="150">
        <f t="shared" si="2"/>
        <v>235</v>
      </c>
      <c r="E6" s="151">
        <v>-235.0</v>
      </c>
      <c r="F6" s="148"/>
      <c r="G6" s="151">
        <v>6.5</v>
      </c>
      <c r="H6" s="151">
        <v>2.0</v>
      </c>
      <c r="I6" s="151">
        <v>1.0</v>
      </c>
      <c r="J6" s="151">
        <v>6.0</v>
      </c>
      <c r="K6" s="151">
        <v>8.0</v>
      </c>
    </row>
    <row r="7">
      <c r="A7" s="148"/>
      <c r="B7" s="153"/>
      <c r="C7" s="148"/>
      <c r="D7" s="148"/>
      <c r="E7" s="148"/>
      <c r="F7" s="148"/>
      <c r="G7" s="148"/>
      <c r="H7" s="148"/>
      <c r="I7" s="148"/>
      <c r="J7" s="148"/>
      <c r="K7" s="148"/>
    </row>
    <row r="8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</row>
    <row r="9">
      <c r="A9" s="149" t="s">
        <v>584</v>
      </c>
      <c r="B9" s="148"/>
      <c r="C9" s="148"/>
      <c r="D9" s="148"/>
      <c r="E9" s="148"/>
      <c r="F9" s="148"/>
      <c r="G9" s="148"/>
      <c r="H9" s="148"/>
      <c r="I9" s="148"/>
      <c r="J9" s="148"/>
      <c r="K9" s="148"/>
    </row>
    <row r="10">
      <c r="A10" s="148" t="s">
        <v>201</v>
      </c>
      <c r="B10" s="150">
        <v>10.0</v>
      </c>
      <c r="C10" s="151">
        <f t="shared" ref="C10:C13" si="3">SUM(G10:K10)</f>
        <v>7.5</v>
      </c>
      <c r="D10" s="150">
        <f t="shared" ref="D10:D13" si="4">B10*C10</f>
        <v>75</v>
      </c>
      <c r="E10" s="151">
        <v>-75.0</v>
      </c>
      <c r="F10" s="148"/>
      <c r="G10" s="151">
        <v>0.0</v>
      </c>
      <c r="H10" s="151">
        <v>0.0</v>
      </c>
      <c r="I10" s="151">
        <v>0.0</v>
      </c>
      <c r="J10" s="151">
        <v>0.0</v>
      </c>
      <c r="K10" s="151">
        <v>7.5</v>
      </c>
    </row>
    <row r="11">
      <c r="A11" s="148" t="s">
        <v>583</v>
      </c>
      <c r="B11" s="152">
        <v>12.5</v>
      </c>
      <c r="C11" s="151">
        <f t="shared" si="3"/>
        <v>40</v>
      </c>
      <c r="D11" s="150">
        <f t="shared" si="4"/>
        <v>500</v>
      </c>
      <c r="E11" s="151">
        <v>-500.0</v>
      </c>
      <c r="F11" s="148"/>
      <c r="G11" s="151">
        <v>8.0</v>
      </c>
      <c r="H11" s="151">
        <v>8.0</v>
      </c>
      <c r="I11" s="151">
        <v>8.0</v>
      </c>
      <c r="J11" s="151">
        <v>8.0</v>
      </c>
      <c r="K11" s="151">
        <v>8.0</v>
      </c>
    </row>
    <row r="12">
      <c r="A12" s="148" t="s">
        <v>297</v>
      </c>
      <c r="B12" s="150">
        <v>12.5</v>
      </c>
      <c r="C12" s="151">
        <f t="shared" si="3"/>
        <v>40</v>
      </c>
      <c r="D12" s="150">
        <f t="shared" si="4"/>
        <v>500</v>
      </c>
      <c r="E12" s="151">
        <v>-200.0</v>
      </c>
      <c r="F12" s="148"/>
      <c r="G12" s="151">
        <v>8.0</v>
      </c>
      <c r="H12" s="151">
        <v>8.0</v>
      </c>
      <c r="I12" s="151">
        <v>8.0</v>
      </c>
      <c r="J12" s="151">
        <v>8.0</v>
      </c>
      <c r="K12" s="151">
        <v>8.0</v>
      </c>
    </row>
    <row r="13">
      <c r="A13" s="148" t="s">
        <v>206</v>
      </c>
      <c r="B13" s="152">
        <v>10.0</v>
      </c>
      <c r="C13" s="151">
        <f t="shared" si="3"/>
        <v>15</v>
      </c>
      <c r="D13" s="150">
        <f t="shared" si="4"/>
        <v>150</v>
      </c>
      <c r="E13" s="151">
        <v>-150.0</v>
      </c>
      <c r="F13" s="148"/>
      <c r="G13" s="151">
        <v>8.0</v>
      </c>
      <c r="H13" s="151">
        <v>7.0</v>
      </c>
      <c r="I13" s="151">
        <v>0.0</v>
      </c>
      <c r="J13" s="151">
        <v>0.0</v>
      </c>
      <c r="K13" s="151">
        <v>0.0</v>
      </c>
    </row>
    <row r="14">
      <c r="A14" s="148"/>
      <c r="B14" s="153"/>
      <c r="C14" s="148"/>
      <c r="D14" s="148"/>
      <c r="E14" s="148"/>
      <c r="F14" s="148"/>
      <c r="G14" s="148"/>
      <c r="H14" s="148"/>
      <c r="I14" s="148"/>
      <c r="J14" s="148"/>
      <c r="K14" s="148"/>
    </row>
    <row r="15">
      <c r="A15" s="148"/>
      <c r="B15" s="148"/>
      <c r="C15" s="148"/>
      <c r="D15" s="148"/>
      <c r="E15" s="148"/>
      <c r="F15" s="148"/>
      <c r="G15" s="148"/>
      <c r="H15" s="148"/>
      <c r="I15" s="148"/>
      <c r="J15" s="148"/>
      <c r="K15" s="148"/>
    </row>
    <row r="16">
      <c r="A16" s="149" t="s">
        <v>585</v>
      </c>
      <c r="B16" s="148"/>
      <c r="C16" s="148"/>
      <c r="D16" s="148"/>
      <c r="E16" s="148"/>
      <c r="F16" s="148"/>
      <c r="G16" s="148"/>
      <c r="H16" s="148"/>
      <c r="I16" s="148"/>
      <c r="J16" s="148"/>
      <c r="K16" s="148"/>
    </row>
    <row r="17">
      <c r="A17" s="148" t="s">
        <v>201</v>
      </c>
      <c r="B17" s="150">
        <v>10.0</v>
      </c>
      <c r="C17" s="151">
        <f t="shared" ref="C17:C20" si="5">SUM(G17:K17)</f>
        <v>26</v>
      </c>
      <c r="D17" s="150">
        <f t="shared" ref="D17:D20" si="6">B17*C17</f>
        <v>260</v>
      </c>
      <c r="E17" s="151">
        <v>-260.0</v>
      </c>
      <c r="F17" s="148"/>
      <c r="G17" s="151">
        <v>4.5</v>
      </c>
      <c r="H17" s="151">
        <v>4.5</v>
      </c>
      <c r="I17" s="151">
        <v>4.5</v>
      </c>
      <c r="J17" s="151">
        <v>4.5</v>
      </c>
      <c r="K17" s="151">
        <v>8.0</v>
      </c>
    </row>
    <row r="18">
      <c r="A18" s="148" t="s">
        <v>583</v>
      </c>
      <c r="B18" s="152">
        <v>12.5</v>
      </c>
      <c r="C18" s="151">
        <f t="shared" si="5"/>
        <v>40</v>
      </c>
      <c r="D18" s="150">
        <f t="shared" si="6"/>
        <v>500</v>
      </c>
      <c r="E18" s="151">
        <v>-500.0</v>
      </c>
      <c r="F18" s="148"/>
      <c r="G18" s="151">
        <v>8.0</v>
      </c>
      <c r="H18" s="151">
        <v>8.0</v>
      </c>
      <c r="I18" s="151">
        <v>8.0</v>
      </c>
      <c r="J18" s="151">
        <v>8.0</v>
      </c>
      <c r="K18" s="151">
        <v>8.0</v>
      </c>
    </row>
    <row r="19">
      <c r="A19" s="148" t="s">
        <v>297</v>
      </c>
      <c r="B19" s="150">
        <v>12.5</v>
      </c>
      <c r="C19" s="151">
        <f t="shared" si="5"/>
        <v>40</v>
      </c>
      <c r="D19" s="150">
        <f t="shared" si="6"/>
        <v>500</v>
      </c>
      <c r="E19" s="154">
        <v>-100.0</v>
      </c>
      <c r="F19" s="148"/>
      <c r="G19" s="151">
        <v>8.0</v>
      </c>
      <c r="H19" s="151">
        <v>8.0</v>
      </c>
      <c r="I19" s="151">
        <v>8.0</v>
      </c>
      <c r="J19" s="151">
        <v>8.0</v>
      </c>
      <c r="K19" s="151">
        <v>8.0</v>
      </c>
    </row>
    <row r="20">
      <c r="A20" s="148" t="s">
        <v>206</v>
      </c>
      <c r="B20" s="152">
        <v>10.0</v>
      </c>
      <c r="C20" s="151">
        <f t="shared" si="5"/>
        <v>15</v>
      </c>
      <c r="D20" s="150">
        <f t="shared" si="6"/>
        <v>150</v>
      </c>
      <c r="E20" s="151">
        <v>-150.0</v>
      </c>
      <c r="F20" s="148"/>
      <c r="G20" s="151">
        <v>3.0</v>
      </c>
      <c r="H20" s="151">
        <v>3.0</v>
      </c>
      <c r="I20" s="151">
        <v>3.0</v>
      </c>
      <c r="J20" s="151">
        <v>3.0</v>
      </c>
      <c r="K20" s="151">
        <v>3.0</v>
      </c>
    </row>
    <row r="21">
      <c r="A21" s="148"/>
      <c r="B21" s="153"/>
      <c r="C21" s="148"/>
      <c r="D21" s="148"/>
      <c r="E21" s="148"/>
      <c r="F21" s="148"/>
      <c r="G21" s="148"/>
      <c r="H21" s="148"/>
      <c r="I21" s="148"/>
      <c r="J21" s="148"/>
      <c r="K21" s="148"/>
    </row>
    <row r="22">
      <c r="A22" s="148"/>
      <c r="B22" s="148"/>
      <c r="C22" s="148"/>
      <c r="D22" s="148"/>
      <c r="E22" s="148"/>
      <c r="F22" s="148"/>
      <c r="G22" s="148"/>
      <c r="H22" s="148"/>
      <c r="I22" s="148"/>
      <c r="J22" s="148"/>
      <c r="K22" s="148"/>
    </row>
    <row r="23">
      <c r="A23" s="148"/>
      <c r="B23" s="148"/>
      <c r="C23" s="148"/>
      <c r="D23" s="148"/>
      <c r="E23" s="148"/>
      <c r="F23" s="148"/>
      <c r="G23" s="148"/>
      <c r="H23" s="148"/>
      <c r="I23" s="148"/>
      <c r="J23" s="148"/>
      <c r="K23" s="148"/>
    </row>
    <row r="24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</row>
    <row r="25">
      <c r="A25" s="149" t="s">
        <v>586</v>
      </c>
      <c r="B25" s="148"/>
      <c r="C25" s="148"/>
      <c r="D25" s="148"/>
      <c r="E25" s="148"/>
      <c r="F25" s="148"/>
      <c r="G25" s="148"/>
      <c r="H25" s="148"/>
      <c r="I25" s="148"/>
      <c r="J25" s="148"/>
      <c r="K25" s="148"/>
    </row>
    <row r="26">
      <c r="A26" s="148" t="s">
        <v>201</v>
      </c>
      <c r="B26" s="150">
        <v>10.0</v>
      </c>
      <c r="C26" s="151">
        <f t="shared" ref="C26:C29" si="7">SUM(G26:K26)</f>
        <v>26</v>
      </c>
      <c r="D26" s="150">
        <f t="shared" ref="D26:D29" si="8">B26*C26</f>
        <v>260</v>
      </c>
      <c r="E26" s="151">
        <v>-260.0</v>
      </c>
      <c r="F26" s="148"/>
      <c r="G26" s="151">
        <v>4.5</v>
      </c>
      <c r="H26" s="151">
        <v>4.5</v>
      </c>
      <c r="I26" s="151">
        <v>4.5</v>
      </c>
      <c r="J26" s="151">
        <v>4.5</v>
      </c>
      <c r="K26" s="151">
        <v>8.0</v>
      </c>
    </row>
    <row r="27">
      <c r="A27" s="148" t="s">
        <v>583</v>
      </c>
      <c r="B27" s="152">
        <v>12.5</v>
      </c>
      <c r="C27" s="151">
        <f t="shared" si="7"/>
        <v>40</v>
      </c>
      <c r="D27" s="150">
        <f t="shared" si="8"/>
        <v>500</v>
      </c>
      <c r="E27" s="151">
        <v>-500.0</v>
      </c>
      <c r="F27" s="148"/>
      <c r="G27" s="151">
        <v>8.0</v>
      </c>
      <c r="H27" s="151">
        <v>8.0</v>
      </c>
      <c r="I27" s="151">
        <v>8.0</v>
      </c>
      <c r="J27" s="151">
        <v>8.0</v>
      </c>
      <c r="K27" s="151">
        <v>8.0</v>
      </c>
    </row>
    <row r="28">
      <c r="A28" s="148" t="s">
        <v>297</v>
      </c>
      <c r="B28" s="150">
        <v>12.5</v>
      </c>
      <c r="C28" s="151">
        <f t="shared" si="7"/>
        <v>24</v>
      </c>
      <c r="D28" s="150">
        <f t="shared" si="8"/>
        <v>300</v>
      </c>
      <c r="E28" s="154">
        <v>-100.0</v>
      </c>
      <c r="F28" s="148"/>
      <c r="G28" s="151">
        <v>8.0</v>
      </c>
      <c r="H28" s="151">
        <v>8.0</v>
      </c>
      <c r="I28" s="151">
        <v>0.0</v>
      </c>
      <c r="J28" s="151">
        <v>0.0</v>
      </c>
      <c r="K28" s="151">
        <v>8.0</v>
      </c>
    </row>
    <row r="29">
      <c r="A29" s="148" t="s">
        <v>206</v>
      </c>
      <c r="B29" s="152">
        <v>10.0</v>
      </c>
      <c r="C29" s="151">
        <f t="shared" si="7"/>
        <v>14</v>
      </c>
      <c r="D29" s="150">
        <f t="shared" si="8"/>
        <v>140</v>
      </c>
      <c r="E29" s="151">
        <v>-140.0</v>
      </c>
      <c r="F29" s="148"/>
      <c r="G29" s="151">
        <v>3.0</v>
      </c>
      <c r="H29" s="151">
        <v>7.0</v>
      </c>
      <c r="I29" s="151">
        <v>4.0</v>
      </c>
      <c r="J29" s="151">
        <v>0.0</v>
      </c>
      <c r="K29" s="151">
        <v>0.0</v>
      </c>
    </row>
    <row r="30">
      <c r="A30" s="148"/>
      <c r="B30" s="153"/>
      <c r="C30" s="148"/>
      <c r="D30" s="148"/>
      <c r="E30" s="148"/>
      <c r="F30" s="148"/>
      <c r="G30" s="148"/>
      <c r="H30" s="148"/>
      <c r="I30" s="148"/>
      <c r="J30" s="148"/>
      <c r="K30" s="148"/>
    </row>
    <row r="31">
      <c r="A31" s="148"/>
      <c r="B31" s="148"/>
      <c r="C31" s="148"/>
      <c r="D31" s="148"/>
      <c r="E31" s="148"/>
      <c r="F31" s="148"/>
      <c r="G31" s="148"/>
      <c r="H31" s="148"/>
      <c r="I31" s="148"/>
      <c r="J31" s="148"/>
      <c r="K31" s="148"/>
    </row>
    <row r="32">
      <c r="A32" s="149" t="s">
        <v>587</v>
      </c>
      <c r="B32" s="148"/>
      <c r="C32" s="148"/>
      <c r="D32" s="148"/>
      <c r="E32" s="148"/>
      <c r="F32" s="148"/>
      <c r="G32" s="148"/>
      <c r="H32" s="148"/>
      <c r="I32" s="148"/>
      <c r="J32" s="148"/>
      <c r="K32" s="148"/>
    </row>
    <row r="33">
      <c r="A33" s="148" t="s">
        <v>201</v>
      </c>
      <c r="B33" s="150">
        <v>10.0</v>
      </c>
      <c r="C33" s="151">
        <f t="shared" ref="C33:C36" si="9">SUM(G33:K33)</f>
        <v>25</v>
      </c>
      <c r="D33" s="150">
        <f t="shared" ref="D33:D36" si="10">B33*C33</f>
        <v>250</v>
      </c>
      <c r="E33" s="151">
        <v>-250.0</v>
      </c>
      <c r="F33" s="148"/>
      <c r="G33" s="151">
        <v>8.0</v>
      </c>
      <c r="H33" s="151">
        <v>0.0</v>
      </c>
      <c r="I33" s="151">
        <v>4.5</v>
      </c>
      <c r="J33" s="151">
        <v>4.5</v>
      </c>
      <c r="K33" s="151">
        <v>8.0</v>
      </c>
    </row>
    <row r="34">
      <c r="A34" s="148" t="s">
        <v>583</v>
      </c>
      <c r="B34" s="152">
        <v>12.5</v>
      </c>
      <c r="C34" s="151">
        <f t="shared" si="9"/>
        <v>38</v>
      </c>
      <c r="D34" s="150">
        <f t="shared" si="10"/>
        <v>475</v>
      </c>
      <c r="E34" s="151">
        <v>-500.0</v>
      </c>
      <c r="F34" s="148"/>
      <c r="G34" s="151">
        <v>8.0</v>
      </c>
      <c r="H34" s="151">
        <v>6.0</v>
      </c>
      <c r="I34" s="151">
        <v>8.0</v>
      </c>
      <c r="J34" s="151">
        <v>8.0</v>
      </c>
      <c r="K34" s="151">
        <v>8.0</v>
      </c>
    </row>
    <row r="35">
      <c r="A35" s="148" t="s">
        <v>297</v>
      </c>
      <c r="B35" s="150">
        <v>12.5</v>
      </c>
      <c r="C35" s="151">
        <f t="shared" si="9"/>
        <v>20</v>
      </c>
      <c r="D35" s="150">
        <f t="shared" si="10"/>
        <v>250</v>
      </c>
      <c r="E35" s="154">
        <v>-200.0</v>
      </c>
      <c r="F35" s="148" t="s">
        <v>140</v>
      </c>
      <c r="G35" s="151">
        <v>4.0</v>
      </c>
      <c r="H35" s="151">
        <v>3.0</v>
      </c>
      <c r="I35" s="151">
        <v>6.0</v>
      </c>
      <c r="J35" s="151">
        <v>4.0</v>
      </c>
      <c r="K35" s="151">
        <v>3.0</v>
      </c>
    </row>
    <row r="36">
      <c r="A36" s="148"/>
      <c r="B36" s="152">
        <v>10.0</v>
      </c>
      <c r="C36" s="151">
        <f t="shared" si="9"/>
        <v>0</v>
      </c>
      <c r="D36" s="150">
        <f t="shared" si="10"/>
        <v>0</v>
      </c>
      <c r="E36" s="151">
        <v>0.0</v>
      </c>
      <c r="F36" s="148"/>
      <c r="G36" s="151">
        <v>0.0</v>
      </c>
      <c r="H36" s="151">
        <v>0.0</v>
      </c>
      <c r="I36" s="151">
        <v>0.0</v>
      </c>
      <c r="J36" s="151">
        <v>0.0</v>
      </c>
      <c r="K36" s="151">
        <v>0.0</v>
      </c>
    </row>
    <row r="37">
      <c r="A37" s="148"/>
      <c r="B37" s="148"/>
      <c r="C37" s="148"/>
      <c r="D37" s="148"/>
      <c r="E37" s="148"/>
      <c r="F37" s="148"/>
      <c r="G37" s="148"/>
      <c r="H37" s="148"/>
      <c r="I37" s="148"/>
      <c r="J37" s="148"/>
      <c r="K37" s="148"/>
    </row>
    <row r="38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</row>
    <row r="39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</row>
    <row r="40">
      <c r="A40" s="149" t="s">
        <v>588</v>
      </c>
      <c r="B40" s="148"/>
      <c r="C40" s="148"/>
      <c r="D40" s="148"/>
      <c r="E40" s="148"/>
      <c r="F40" s="148"/>
      <c r="G40" s="148"/>
      <c r="H40" s="148"/>
      <c r="I40" s="148"/>
      <c r="J40" s="148"/>
      <c r="K40" s="148"/>
    </row>
    <row r="41">
      <c r="A41" s="148" t="s">
        <v>201</v>
      </c>
      <c r="B41" s="150">
        <v>10.0</v>
      </c>
      <c r="C41" s="151">
        <f t="shared" ref="C41:C44" si="11">SUM(G41:K41)</f>
        <v>4.5</v>
      </c>
      <c r="D41" s="150">
        <f t="shared" ref="D41:D44" si="12">B41*C41</f>
        <v>45</v>
      </c>
      <c r="E41" s="148"/>
      <c r="F41" s="148"/>
      <c r="G41" s="151">
        <v>4.5</v>
      </c>
      <c r="H41" s="151">
        <v>0.0</v>
      </c>
      <c r="I41" s="151">
        <v>0.0</v>
      </c>
      <c r="J41" s="151">
        <v>0.0</v>
      </c>
      <c r="K41" s="151">
        <v>0.0</v>
      </c>
    </row>
    <row r="42">
      <c r="A42" s="148" t="s">
        <v>583</v>
      </c>
      <c r="B42" s="152">
        <v>12.5</v>
      </c>
      <c r="C42" s="151">
        <f t="shared" si="11"/>
        <v>6</v>
      </c>
      <c r="D42" s="150">
        <f t="shared" si="12"/>
        <v>75</v>
      </c>
      <c r="E42" s="148"/>
      <c r="F42" s="148"/>
      <c r="G42" s="151">
        <v>6.0</v>
      </c>
      <c r="H42" s="151">
        <v>0.0</v>
      </c>
      <c r="I42" s="151">
        <v>0.0</v>
      </c>
      <c r="J42" s="151">
        <v>0.0</v>
      </c>
      <c r="K42" s="151">
        <v>0.0</v>
      </c>
    </row>
    <row r="43">
      <c r="A43" s="148" t="s">
        <v>297</v>
      </c>
      <c r="B43" s="150">
        <v>12.5</v>
      </c>
      <c r="C43" s="151">
        <f t="shared" si="11"/>
        <v>4</v>
      </c>
      <c r="D43" s="150">
        <f t="shared" si="12"/>
        <v>50</v>
      </c>
      <c r="E43" s="148"/>
      <c r="F43" s="148"/>
      <c r="G43" s="151">
        <v>4.0</v>
      </c>
      <c r="H43" s="151">
        <v>0.0</v>
      </c>
      <c r="I43" s="151">
        <v>0.0</v>
      </c>
      <c r="J43" s="151">
        <v>0.0</v>
      </c>
      <c r="K43" s="151">
        <v>0.0</v>
      </c>
    </row>
    <row r="44">
      <c r="A44" s="148"/>
      <c r="B44" s="152">
        <v>10.0</v>
      </c>
      <c r="C44" s="151">
        <f t="shared" si="11"/>
        <v>0</v>
      </c>
      <c r="D44" s="150">
        <f t="shared" si="12"/>
        <v>0</v>
      </c>
      <c r="E44" s="148"/>
      <c r="F44" s="148"/>
      <c r="G44" s="151">
        <v>0.0</v>
      </c>
      <c r="H44" s="151">
        <v>0.0</v>
      </c>
      <c r="I44" s="151">
        <v>0.0</v>
      </c>
      <c r="J44" s="151">
        <v>0.0</v>
      </c>
      <c r="K44" s="151">
        <v>0.0</v>
      </c>
    </row>
    <row r="45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</row>
    <row r="46">
      <c r="A46" s="148"/>
      <c r="B46" s="148"/>
      <c r="C46" s="148"/>
      <c r="D46" s="148"/>
      <c r="E46" s="148"/>
      <c r="F46" s="148"/>
      <c r="G46" s="148"/>
      <c r="H46" s="148"/>
      <c r="I46" s="148"/>
      <c r="J46" s="148"/>
      <c r="K46" s="148"/>
    </row>
    <row r="47">
      <c r="A47" s="155" t="s">
        <v>589</v>
      </c>
      <c r="B47" s="156"/>
      <c r="C47" s="157"/>
      <c r="D47" s="148"/>
      <c r="E47" s="148"/>
      <c r="F47" s="148"/>
      <c r="G47" s="148"/>
      <c r="H47" s="148"/>
      <c r="I47" s="148"/>
      <c r="J47" s="148"/>
      <c r="K47" s="148"/>
    </row>
    <row r="48">
      <c r="A48" s="158" t="s">
        <v>590</v>
      </c>
      <c r="B48" s="159" t="s">
        <v>591</v>
      </c>
      <c r="C48" s="160" t="s">
        <v>592</v>
      </c>
      <c r="D48" s="159" t="s">
        <v>593</v>
      </c>
      <c r="E48" s="158" t="s">
        <v>594</v>
      </c>
      <c r="F48" s="161"/>
      <c r="G48" s="160" t="s">
        <v>595</v>
      </c>
      <c r="H48" s="160" t="s">
        <v>596</v>
      </c>
      <c r="I48" s="160" t="s">
        <v>597</v>
      </c>
      <c r="J48" s="160" t="s">
        <v>598</v>
      </c>
      <c r="K48" s="160" t="s">
        <v>599</v>
      </c>
      <c r="L48" s="52"/>
    </row>
    <row r="49">
      <c r="A49" s="161" t="s">
        <v>583</v>
      </c>
      <c r="B49" s="162">
        <v>12.5</v>
      </c>
      <c r="C49" s="163">
        <v>0.0</v>
      </c>
      <c r="D49" s="162">
        <f t="shared" ref="D49:D51" si="13">B49*C49</f>
        <v>0</v>
      </c>
      <c r="E49" s="161"/>
      <c r="F49" s="161"/>
      <c r="G49" s="164">
        <v>0.0</v>
      </c>
      <c r="H49" s="164">
        <v>0.0</v>
      </c>
      <c r="I49" s="164">
        <v>0.0</v>
      </c>
      <c r="J49" s="164">
        <v>0.0</v>
      </c>
      <c r="K49" s="164">
        <v>0.0</v>
      </c>
      <c r="L49" s="52"/>
    </row>
    <row r="50">
      <c r="A50" s="161" t="s">
        <v>297</v>
      </c>
      <c r="B50" s="162">
        <v>12.5</v>
      </c>
      <c r="C50" s="164">
        <f t="shared" ref="C50:C51" si="14">SUM(G50:K50)</f>
        <v>0</v>
      </c>
      <c r="D50" s="162">
        <f t="shared" si="13"/>
        <v>0</v>
      </c>
      <c r="E50" s="161"/>
      <c r="F50" s="161"/>
      <c r="G50" s="164">
        <v>0.0</v>
      </c>
      <c r="H50" s="164">
        <v>0.0</v>
      </c>
      <c r="I50" s="164">
        <v>0.0</v>
      </c>
      <c r="J50" s="164">
        <v>0.0</v>
      </c>
      <c r="K50" s="164">
        <v>0.0</v>
      </c>
      <c r="L50" s="52"/>
    </row>
    <row r="51">
      <c r="A51" s="165" t="s">
        <v>201</v>
      </c>
      <c r="B51" s="162">
        <v>10.0</v>
      </c>
      <c r="C51" s="164">
        <f t="shared" si="14"/>
        <v>0</v>
      </c>
      <c r="D51" s="162">
        <f t="shared" si="13"/>
        <v>0</v>
      </c>
      <c r="E51" s="161"/>
      <c r="F51" s="161"/>
      <c r="G51" s="164">
        <v>0.0</v>
      </c>
      <c r="H51" s="164">
        <v>0.0</v>
      </c>
      <c r="I51" s="164">
        <v>0.0</v>
      </c>
      <c r="J51" s="164">
        <v>0.0</v>
      </c>
      <c r="K51" s="164">
        <v>0.0</v>
      </c>
      <c r="L51" s="52"/>
    </row>
    <row r="52">
      <c r="A52" s="161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</row>
    <row r="53">
      <c r="A53" s="148"/>
    </row>
    <row r="54">
      <c r="A54" s="148"/>
    </row>
    <row r="55">
      <c r="A55" s="148"/>
      <c r="B55" s="148"/>
      <c r="C55" s="148"/>
      <c r="D55" s="148"/>
      <c r="E55" s="148"/>
      <c r="F55" s="148"/>
      <c r="G55" s="148"/>
      <c r="H55" s="148"/>
      <c r="I55" s="148"/>
      <c r="J55" s="148"/>
      <c r="K55" s="148"/>
    </row>
    <row r="56">
      <c r="A56" s="166" t="s">
        <v>600</v>
      </c>
      <c r="B56" s="166" t="s">
        <v>591</v>
      </c>
      <c r="C56" s="166" t="s">
        <v>592</v>
      </c>
      <c r="D56" s="166" t="s">
        <v>593</v>
      </c>
      <c r="E56" s="166" t="s">
        <v>594</v>
      </c>
      <c r="F56" s="148"/>
      <c r="G56" s="167" t="s">
        <v>601</v>
      </c>
      <c r="H56" s="167" t="s">
        <v>602</v>
      </c>
      <c r="I56" s="167" t="s">
        <v>603</v>
      </c>
      <c r="J56" s="167" t="s">
        <v>604</v>
      </c>
      <c r="K56" s="167" t="s">
        <v>605</v>
      </c>
    </row>
    <row r="57">
      <c r="A57" s="148" t="s">
        <v>201</v>
      </c>
      <c r="B57" s="150">
        <v>10.0</v>
      </c>
      <c r="C57" s="151">
        <f t="shared" ref="C57:C59" si="15">SUM(G57:K57)</f>
        <v>21</v>
      </c>
      <c r="D57" s="168">
        <f t="shared" ref="D57:D59" si="16">B57*C57</f>
        <v>210</v>
      </c>
      <c r="E57" s="148"/>
      <c r="F57" s="148"/>
      <c r="G57" s="169"/>
      <c r="H57" s="170">
        <v>5.0</v>
      </c>
      <c r="I57" s="170">
        <v>4.0</v>
      </c>
      <c r="J57" s="170">
        <v>5.0</v>
      </c>
      <c r="K57" s="170">
        <v>7.0</v>
      </c>
    </row>
    <row r="58">
      <c r="A58" s="148" t="s">
        <v>583</v>
      </c>
      <c r="B58" s="150">
        <v>12.5</v>
      </c>
      <c r="C58" s="151">
        <f t="shared" si="15"/>
        <v>20</v>
      </c>
      <c r="D58" s="168">
        <f t="shared" si="16"/>
        <v>250</v>
      </c>
      <c r="E58" s="148"/>
      <c r="F58" s="148"/>
      <c r="G58" s="170">
        <v>4.0</v>
      </c>
      <c r="H58" s="170">
        <v>4.0</v>
      </c>
      <c r="I58" s="170">
        <v>4.0</v>
      </c>
      <c r="J58" s="170">
        <v>4.0</v>
      </c>
      <c r="K58" s="170">
        <v>4.0</v>
      </c>
    </row>
    <row r="59">
      <c r="A59" s="148" t="s">
        <v>297</v>
      </c>
      <c r="B59" s="150">
        <v>12.5</v>
      </c>
      <c r="C59" s="151">
        <f t="shared" si="15"/>
        <v>40</v>
      </c>
      <c r="D59" s="168">
        <f t="shared" si="16"/>
        <v>500</v>
      </c>
      <c r="E59" s="171">
        <v>-100.0</v>
      </c>
      <c r="F59" s="148"/>
      <c r="G59" s="170">
        <v>8.0</v>
      </c>
      <c r="H59" s="170">
        <v>8.0</v>
      </c>
      <c r="I59" s="170">
        <v>8.0</v>
      </c>
      <c r="J59" s="170">
        <v>8.0</v>
      </c>
      <c r="K59" s="170">
        <v>8.0</v>
      </c>
    </row>
    <row r="60">
      <c r="A60" s="148"/>
      <c r="B60" s="150"/>
      <c r="C60" s="151"/>
      <c r="D60" s="150"/>
      <c r="E60" s="148"/>
      <c r="F60" s="148"/>
      <c r="G60" s="151"/>
      <c r="H60" s="151"/>
      <c r="I60" s="151"/>
      <c r="J60" s="151"/>
      <c r="K60" s="151"/>
    </row>
    <row r="61">
      <c r="A61" s="148"/>
      <c r="B61" s="148"/>
      <c r="C61" s="148"/>
      <c r="D61" s="148"/>
      <c r="E61" s="148"/>
      <c r="F61" s="148"/>
      <c r="G61" s="148"/>
      <c r="H61" s="148"/>
      <c r="I61" s="148"/>
      <c r="J61" s="148"/>
      <c r="K61" s="148"/>
    </row>
    <row r="62">
      <c r="A62" s="155"/>
    </row>
    <row r="63">
      <c r="A63" s="148"/>
    </row>
    <row r="64">
      <c r="A64" s="148"/>
    </row>
    <row r="65">
      <c r="A65" s="148"/>
      <c r="B65" s="148"/>
      <c r="C65" s="148"/>
      <c r="D65" s="148"/>
      <c r="E65" s="148"/>
      <c r="F65" s="148"/>
      <c r="G65" s="148"/>
      <c r="H65" s="148"/>
      <c r="I65" s="148"/>
      <c r="J65" s="148"/>
      <c r="K65" s="148"/>
    </row>
    <row r="66">
      <c r="A66" s="166" t="s">
        <v>606</v>
      </c>
      <c r="B66" s="166" t="s">
        <v>591</v>
      </c>
      <c r="C66" s="166" t="s">
        <v>592</v>
      </c>
      <c r="D66" s="166" t="s">
        <v>593</v>
      </c>
      <c r="E66" s="166" t="s">
        <v>594</v>
      </c>
      <c r="F66" s="148"/>
      <c r="G66" s="167" t="s">
        <v>601</v>
      </c>
      <c r="H66" s="167" t="s">
        <v>602</v>
      </c>
      <c r="I66" s="167" t="s">
        <v>603</v>
      </c>
      <c r="J66" s="167" t="s">
        <v>604</v>
      </c>
      <c r="K66" s="167" t="s">
        <v>605</v>
      </c>
    </row>
    <row r="67">
      <c r="A67" s="148" t="s">
        <v>201</v>
      </c>
      <c r="B67" s="150">
        <v>10.0</v>
      </c>
      <c r="C67" s="151">
        <f t="shared" ref="C67:C70" si="17">SUM(G67:K67)</f>
        <v>20</v>
      </c>
      <c r="D67" s="150">
        <f t="shared" ref="D67:D70" si="18">B67*C67</f>
        <v>200</v>
      </c>
      <c r="E67" s="148"/>
      <c r="F67" s="148"/>
      <c r="G67" s="172">
        <v>5.0</v>
      </c>
      <c r="H67" s="172">
        <v>4.0</v>
      </c>
      <c r="I67" s="151">
        <v>0.0</v>
      </c>
      <c r="J67" s="172">
        <v>4.0</v>
      </c>
      <c r="K67" s="172">
        <v>7.0</v>
      </c>
    </row>
    <row r="68">
      <c r="A68" s="148" t="s">
        <v>583</v>
      </c>
      <c r="B68" s="152">
        <v>12.5</v>
      </c>
      <c r="C68" s="151">
        <f t="shared" si="17"/>
        <v>6</v>
      </c>
      <c r="D68" s="150">
        <f t="shared" si="18"/>
        <v>75</v>
      </c>
      <c r="E68" s="148"/>
      <c r="F68" s="148"/>
      <c r="G68" s="151">
        <v>6.0</v>
      </c>
      <c r="H68" s="151">
        <v>0.0</v>
      </c>
      <c r="I68" s="151">
        <v>0.0</v>
      </c>
      <c r="J68" s="151">
        <v>0.0</v>
      </c>
      <c r="K68" s="151">
        <v>0.0</v>
      </c>
    </row>
    <row r="69">
      <c r="A69" s="148" t="s">
        <v>297</v>
      </c>
      <c r="B69" s="150">
        <v>12.5</v>
      </c>
      <c r="C69" s="151">
        <f t="shared" si="17"/>
        <v>40</v>
      </c>
      <c r="D69" s="150">
        <f t="shared" si="18"/>
        <v>500</v>
      </c>
      <c r="E69" s="148"/>
      <c r="F69" s="148"/>
      <c r="G69" s="172">
        <v>8.0</v>
      </c>
      <c r="H69" s="172">
        <v>8.0</v>
      </c>
      <c r="I69" s="172">
        <v>8.0</v>
      </c>
      <c r="J69" s="172">
        <v>8.0</v>
      </c>
      <c r="K69" s="172">
        <v>8.0</v>
      </c>
    </row>
    <row r="70">
      <c r="A70" s="171" t="s">
        <v>376</v>
      </c>
      <c r="B70" s="152">
        <v>10.0</v>
      </c>
      <c r="C70" s="151">
        <f t="shared" si="17"/>
        <v>0</v>
      </c>
      <c r="D70" s="150">
        <f t="shared" si="18"/>
        <v>0</v>
      </c>
      <c r="E70" s="148"/>
      <c r="F70" s="148"/>
      <c r="G70" s="151">
        <v>0.0</v>
      </c>
      <c r="H70" s="151">
        <v>0.0</v>
      </c>
      <c r="I70" s="151">
        <v>0.0</v>
      </c>
      <c r="J70" s="151">
        <v>0.0</v>
      </c>
      <c r="K70" s="151">
        <v>0.0</v>
      </c>
    </row>
    <row r="71">
      <c r="A71" s="171" t="s">
        <v>607</v>
      </c>
      <c r="B71" s="173">
        <v>10.0</v>
      </c>
      <c r="C71" s="171">
        <v>0.0</v>
      </c>
      <c r="D71" s="173">
        <v>0.0</v>
      </c>
      <c r="E71" s="148"/>
      <c r="F71" s="148"/>
      <c r="G71" s="171">
        <v>0.0</v>
      </c>
      <c r="H71" s="171">
        <v>0.0</v>
      </c>
      <c r="I71" s="171">
        <v>0.0</v>
      </c>
      <c r="J71" s="171">
        <v>0.0</v>
      </c>
      <c r="K71" s="171">
        <v>0.0</v>
      </c>
    </row>
    <row r="72">
      <c r="A72" s="148"/>
    </row>
    <row r="73">
      <c r="A73" s="148"/>
    </row>
    <row r="74">
      <c r="A74" s="148"/>
    </row>
    <row r="75">
      <c r="A75" s="148"/>
    </row>
    <row r="76">
      <c r="A76" s="148"/>
    </row>
    <row r="77">
      <c r="A77" s="148"/>
      <c r="B77" s="148"/>
      <c r="C77" s="148"/>
      <c r="D77" s="148"/>
      <c r="E77" s="148"/>
      <c r="F77" s="148"/>
      <c r="G77" s="148"/>
      <c r="H77" s="148"/>
      <c r="I77" s="148"/>
      <c r="J77" s="148"/>
      <c r="K77" s="148"/>
    </row>
    <row r="78">
      <c r="A78" s="155" t="s">
        <v>608</v>
      </c>
      <c r="B78" s="148"/>
      <c r="C78" s="148"/>
      <c r="D78" s="148"/>
      <c r="E78" s="148"/>
      <c r="F78" s="148"/>
      <c r="G78" s="148"/>
      <c r="H78" s="148"/>
      <c r="I78" s="148"/>
      <c r="J78" s="148"/>
      <c r="K78" s="148"/>
    </row>
    <row r="79">
      <c r="A79" s="148" t="s">
        <v>201</v>
      </c>
      <c r="B79" s="150">
        <v>10.0</v>
      </c>
      <c r="C79" s="151">
        <f t="shared" ref="C79:C82" si="19">SUM(G79:K79)</f>
        <v>20</v>
      </c>
      <c r="D79" s="150">
        <f t="shared" ref="D79:D82" si="20">B79*C79</f>
        <v>200</v>
      </c>
      <c r="E79" s="148"/>
      <c r="F79" s="148"/>
      <c r="G79" s="172">
        <v>5.0</v>
      </c>
      <c r="H79" s="172">
        <v>4.0</v>
      </c>
      <c r="I79" s="172"/>
      <c r="J79" s="172">
        <v>4.0</v>
      </c>
      <c r="K79" s="172">
        <v>7.0</v>
      </c>
    </row>
    <row r="80">
      <c r="A80" s="148" t="s">
        <v>583</v>
      </c>
      <c r="B80" s="152">
        <v>12.5</v>
      </c>
      <c r="C80" s="151">
        <f t="shared" si="19"/>
        <v>6</v>
      </c>
      <c r="D80" s="150">
        <f t="shared" si="20"/>
        <v>75</v>
      </c>
      <c r="E80" s="148"/>
      <c r="F80" s="148"/>
      <c r="G80" s="151">
        <v>6.0</v>
      </c>
      <c r="H80" s="151">
        <v>0.0</v>
      </c>
      <c r="I80" s="151">
        <v>0.0</v>
      </c>
      <c r="J80" s="151">
        <v>0.0</v>
      </c>
      <c r="K80" s="151">
        <v>0.0</v>
      </c>
    </row>
    <row r="81">
      <c r="A81" s="148" t="s">
        <v>297</v>
      </c>
      <c r="B81" s="150">
        <v>12.5</v>
      </c>
      <c r="C81" s="151">
        <f t="shared" si="19"/>
        <v>4</v>
      </c>
      <c r="D81" s="150">
        <f t="shared" si="20"/>
        <v>50</v>
      </c>
      <c r="E81" s="148"/>
      <c r="F81" s="148"/>
      <c r="G81" s="151">
        <v>4.0</v>
      </c>
      <c r="H81" s="151">
        <v>0.0</v>
      </c>
      <c r="I81" s="151">
        <v>0.0</v>
      </c>
      <c r="J81" s="151">
        <v>0.0</v>
      </c>
      <c r="K81" s="151">
        <v>0.0</v>
      </c>
    </row>
    <row r="82">
      <c r="A82" s="148"/>
      <c r="B82" s="152">
        <v>10.0</v>
      </c>
      <c r="C82" s="151">
        <f t="shared" si="19"/>
        <v>0</v>
      </c>
      <c r="D82" s="150">
        <f t="shared" si="20"/>
        <v>0</v>
      </c>
      <c r="E82" s="148"/>
      <c r="F82" s="148"/>
      <c r="G82" s="151">
        <v>0.0</v>
      </c>
      <c r="H82" s="151">
        <v>0.0</v>
      </c>
      <c r="I82" s="151">
        <v>0.0</v>
      </c>
      <c r="J82" s="151">
        <v>0.0</v>
      </c>
      <c r="K82" s="151">
        <v>0.0</v>
      </c>
    </row>
    <row r="83">
      <c r="A83" s="148"/>
      <c r="B83" s="148"/>
      <c r="C83" s="148"/>
      <c r="D83" s="148"/>
      <c r="E83" s="148"/>
      <c r="F83" s="148"/>
      <c r="G83" s="148"/>
      <c r="H83" s="148"/>
      <c r="I83" s="148"/>
      <c r="J83" s="148"/>
      <c r="K83" s="148"/>
    </row>
    <row r="84">
      <c r="A84" s="148"/>
    </row>
    <row r="85">
      <c r="A85" s="148"/>
    </row>
    <row r="86">
      <c r="A86" s="148"/>
    </row>
    <row r="87">
      <c r="A87" s="174"/>
    </row>
    <row r="88">
      <c r="A88" s="148"/>
      <c r="B88" s="175">
        <v>10.0</v>
      </c>
    </row>
    <row r="89">
      <c r="A89" s="148"/>
    </row>
    <row r="90">
      <c r="A90" s="148"/>
    </row>
    <row r="91">
      <c r="A91" s="148"/>
    </row>
    <row r="92">
      <c r="A92" s="148"/>
    </row>
    <row r="93">
      <c r="A93" s="148"/>
    </row>
    <row r="94">
      <c r="A94" s="148"/>
    </row>
    <row r="95">
      <c r="A95" s="148"/>
    </row>
    <row r="96">
      <c r="A96" s="148"/>
    </row>
    <row r="97">
      <c r="A97" s="148"/>
    </row>
    <row r="98">
      <c r="A98" s="148"/>
    </row>
    <row r="99">
      <c r="A99" s="148"/>
    </row>
    <row r="100">
      <c r="A100" s="148"/>
    </row>
    <row r="101">
      <c r="A101" s="148"/>
    </row>
    <row r="102">
      <c r="A102" s="148"/>
    </row>
    <row r="103">
      <c r="A103" s="148"/>
    </row>
    <row r="104">
      <c r="A104" s="148"/>
    </row>
    <row r="105">
      <c r="A105" s="148"/>
    </row>
    <row r="106">
      <c r="A106" s="148"/>
    </row>
    <row r="107">
      <c r="A107" s="148"/>
    </row>
    <row r="108">
      <c r="A108" s="148"/>
    </row>
    <row r="109">
      <c r="A109" s="148"/>
    </row>
    <row r="110">
      <c r="A110" s="148"/>
    </row>
    <row r="111">
      <c r="A111" s="148"/>
    </row>
    <row r="112">
      <c r="A112" s="148"/>
    </row>
    <row r="113">
      <c r="A113" s="148"/>
    </row>
    <row r="114">
      <c r="A114" s="148"/>
    </row>
    <row r="115">
      <c r="A115" s="148"/>
    </row>
    <row r="116">
      <c r="A116" s="148"/>
    </row>
    <row r="117">
      <c r="A117" s="148"/>
    </row>
    <row r="118">
      <c r="A118" s="148"/>
    </row>
    <row r="119">
      <c r="A119" s="148"/>
    </row>
    <row r="120">
      <c r="A120" s="148"/>
    </row>
    <row r="121">
      <c r="A121" s="148"/>
    </row>
    <row r="122">
      <c r="A122" s="148"/>
    </row>
    <row r="123">
      <c r="A123" s="148"/>
    </row>
    <row r="124">
      <c r="A124" s="148"/>
    </row>
    <row r="125">
      <c r="A125" s="148"/>
    </row>
    <row r="126">
      <c r="A126" s="148"/>
    </row>
    <row r="127">
      <c r="A127" s="148"/>
    </row>
    <row r="128">
      <c r="A128" s="148"/>
    </row>
    <row r="129">
      <c r="A129" s="148"/>
    </row>
    <row r="130">
      <c r="A130" s="148"/>
    </row>
    <row r="131">
      <c r="A131" s="148"/>
    </row>
    <row r="132">
      <c r="A132" s="148"/>
    </row>
    <row r="133">
      <c r="A133" s="148"/>
    </row>
    <row r="134">
      <c r="A134" s="148"/>
    </row>
    <row r="135">
      <c r="A135" s="148"/>
    </row>
    <row r="136">
      <c r="A136" s="148"/>
    </row>
    <row r="137">
      <c r="A137" s="148"/>
    </row>
    <row r="138">
      <c r="A138" s="148"/>
    </row>
    <row r="139">
      <c r="A139" s="148"/>
    </row>
    <row r="140">
      <c r="A140" s="148"/>
    </row>
    <row r="141">
      <c r="A141" s="148"/>
    </row>
    <row r="142">
      <c r="A142" s="148"/>
    </row>
    <row r="143">
      <c r="A143" s="148"/>
    </row>
    <row r="144">
      <c r="A144" s="148"/>
    </row>
    <row r="145">
      <c r="A145" s="148"/>
    </row>
    <row r="146">
      <c r="A146" s="148"/>
    </row>
    <row r="147">
      <c r="A147" s="148"/>
    </row>
    <row r="148">
      <c r="A148" s="148"/>
    </row>
    <row r="149">
      <c r="A149" s="148"/>
    </row>
    <row r="150">
      <c r="A150" s="148"/>
    </row>
    <row r="151">
      <c r="A151" s="148"/>
    </row>
    <row r="152">
      <c r="A152" s="148"/>
    </row>
    <row r="153">
      <c r="A153" s="148"/>
    </row>
    <row r="154">
      <c r="A154" s="148"/>
    </row>
    <row r="155">
      <c r="A155" s="148"/>
    </row>
    <row r="156">
      <c r="A156" s="148"/>
    </row>
    <row r="157">
      <c r="A157" s="148"/>
    </row>
    <row r="158">
      <c r="A158" s="148"/>
    </row>
    <row r="159">
      <c r="A159" s="148"/>
    </row>
    <row r="160">
      <c r="A160" s="148"/>
    </row>
    <row r="161">
      <c r="A161" s="148"/>
    </row>
    <row r="162">
      <c r="A162" s="148"/>
    </row>
    <row r="163">
      <c r="A163" s="148"/>
    </row>
    <row r="164">
      <c r="A164" s="148"/>
    </row>
    <row r="165">
      <c r="A165" s="148"/>
    </row>
    <row r="166">
      <c r="A166" s="148"/>
    </row>
    <row r="167">
      <c r="A167" s="148"/>
    </row>
    <row r="168">
      <c r="A168" s="148"/>
    </row>
    <row r="169">
      <c r="A169" s="148"/>
    </row>
    <row r="170">
      <c r="A170" s="148"/>
    </row>
    <row r="171">
      <c r="A171" s="148"/>
    </row>
    <row r="172">
      <c r="A172" s="148"/>
    </row>
    <row r="173">
      <c r="A173" s="148"/>
    </row>
    <row r="174">
      <c r="A174" s="148"/>
    </row>
    <row r="175">
      <c r="A175" s="148"/>
    </row>
    <row r="176">
      <c r="A176" s="148"/>
    </row>
    <row r="177">
      <c r="A177" s="148"/>
    </row>
    <row r="178">
      <c r="A178" s="148"/>
    </row>
    <row r="179">
      <c r="A179" s="148"/>
    </row>
    <row r="180">
      <c r="A180" s="148"/>
    </row>
    <row r="181">
      <c r="A181" s="148"/>
    </row>
    <row r="182">
      <c r="A182" s="148"/>
    </row>
    <row r="183">
      <c r="A183" s="148"/>
    </row>
    <row r="184">
      <c r="A184" s="148"/>
    </row>
    <row r="185">
      <c r="A185" s="148"/>
    </row>
    <row r="186">
      <c r="A186" s="148"/>
    </row>
    <row r="187">
      <c r="A187" s="148"/>
    </row>
    <row r="188">
      <c r="A188" s="148"/>
    </row>
    <row r="189">
      <c r="A189" s="148"/>
    </row>
    <row r="190">
      <c r="A190" s="148"/>
    </row>
    <row r="191">
      <c r="A191" s="148"/>
    </row>
    <row r="192">
      <c r="A192" s="148"/>
    </row>
    <row r="193">
      <c r="A193" s="148"/>
    </row>
    <row r="194">
      <c r="A194" s="148"/>
    </row>
    <row r="195">
      <c r="A195" s="148"/>
    </row>
    <row r="196">
      <c r="A196" s="148"/>
    </row>
    <row r="197">
      <c r="A197" s="148"/>
    </row>
    <row r="198">
      <c r="A198" s="148"/>
    </row>
    <row r="199">
      <c r="A199" s="148"/>
    </row>
    <row r="200">
      <c r="A200" s="148"/>
    </row>
    <row r="201">
      <c r="A201" s="148"/>
    </row>
    <row r="202">
      <c r="A202" s="148"/>
    </row>
    <row r="203">
      <c r="A203" s="148"/>
    </row>
    <row r="204">
      <c r="A204" s="148"/>
    </row>
    <row r="205">
      <c r="A205" s="148"/>
    </row>
    <row r="206">
      <c r="A206" s="148"/>
    </row>
    <row r="207">
      <c r="A207" s="148"/>
    </row>
    <row r="208">
      <c r="A208" s="148"/>
    </row>
    <row r="209">
      <c r="A209" s="148"/>
    </row>
    <row r="210">
      <c r="A210" s="148"/>
    </row>
    <row r="211">
      <c r="A211" s="148"/>
    </row>
    <row r="212">
      <c r="A212" s="148"/>
    </row>
    <row r="213">
      <c r="A213" s="148"/>
    </row>
    <row r="214">
      <c r="A214" s="148"/>
    </row>
    <row r="215">
      <c r="A215" s="148"/>
    </row>
    <row r="216">
      <c r="A216" s="148"/>
    </row>
    <row r="217">
      <c r="A217" s="148"/>
    </row>
    <row r="218">
      <c r="A218" s="148"/>
    </row>
    <row r="219">
      <c r="A219" s="148"/>
    </row>
    <row r="220">
      <c r="A220" s="148"/>
    </row>
    <row r="221">
      <c r="A221" s="148"/>
    </row>
    <row r="222">
      <c r="A222" s="148"/>
    </row>
    <row r="223">
      <c r="A223" s="148"/>
    </row>
    <row r="224">
      <c r="A224" s="148"/>
    </row>
    <row r="225">
      <c r="A225" s="148"/>
    </row>
    <row r="226">
      <c r="A226" s="148"/>
    </row>
    <row r="227">
      <c r="A227" s="148"/>
    </row>
    <row r="228">
      <c r="A228" s="148"/>
    </row>
    <row r="229">
      <c r="A229" s="148"/>
    </row>
    <row r="230">
      <c r="A230" s="148"/>
    </row>
    <row r="231">
      <c r="A231" s="148"/>
    </row>
    <row r="232">
      <c r="A232" s="148"/>
    </row>
    <row r="233">
      <c r="A233" s="148"/>
    </row>
    <row r="234">
      <c r="A234" s="148"/>
    </row>
    <row r="235">
      <c r="A235" s="148"/>
    </row>
    <row r="236">
      <c r="A236" s="148"/>
    </row>
    <row r="237">
      <c r="A237" s="148"/>
    </row>
    <row r="238">
      <c r="A238" s="148"/>
    </row>
    <row r="239">
      <c r="A239" s="148"/>
    </row>
    <row r="240">
      <c r="A240" s="148"/>
    </row>
    <row r="241">
      <c r="A241" s="148"/>
    </row>
    <row r="242">
      <c r="A242" s="148"/>
    </row>
    <row r="243">
      <c r="A243" s="148"/>
    </row>
    <row r="244">
      <c r="A244" s="148"/>
    </row>
    <row r="245">
      <c r="A245" s="148"/>
    </row>
    <row r="246">
      <c r="A246" s="148"/>
    </row>
    <row r="247">
      <c r="A247" s="148"/>
    </row>
    <row r="248">
      <c r="A248" s="148"/>
    </row>
    <row r="249">
      <c r="A249" s="148"/>
    </row>
    <row r="250">
      <c r="A250" s="148"/>
    </row>
    <row r="251">
      <c r="A251" s="148"/>
    </row>
    <row r="252">
      <c r="A252" s="148"/>
    </row>
    <row r="253">
      <c r="A253" s="148"/>
    </row>
    <row r="254">
      <c r="A254" s="148"/>
    </row>
    <row r="255">
      <c r="A255" s="148"/>
    </row>
    <row r="256">
      <c r="A256" s="148"/>
    </row>
    <row r="257">
      <c r="A257" s="148"/>
    </row>
    <row r="258">
      <c r="A258" s="148"/>
    </row>
    <row r="259">
      <c r="A259" s="148"/>
    </row>
    <row r="260">
      <c r="A260" s="148"/>
    </row>
    <row r="261">
      <c r="A261" s="148"/>
    </row>
    <row r="262">
      <c r="A262" s="148"/>
    </row>
    <row r="263">
      <c r="A263" s="148"/>
    </row>
    <row r="264">
      <c r="A264" s="148"/>
    </row>
    <row r="265">
      <c r="A265" s="148"/>
    </row>
    <row r="266">
      <c r="A266" s="148"/>
    </row>
    <row r="267">
      <c r="A267" s="148"/>
    </row>
    <row r="268">
      <c r="A268" s="148"/>
    </row>
    <row r="269">
      <c r="A269" s="148"/>
    </row>
    <row r="270">
      <c r="A270" s="148"/>
    </row>
    <row r="271">
      <c r="A271" s="148"/>
    </row>
    <row r="272">
      <c r="A272" s="148"/>
    </row>
    <row r="273">
      <c r="A273" s="148"/>
    </row>
    <row r="274">
      <c r="A274" s="148"/>
    </row>
    <row r="275">
      <c r="A275" s="148"/>
    </row>
    <row r="276">
      <c r="A276" s="148"/>
    </row>
    <row r="277">
      <c r="A277" s="148"/>
    </row>
    <row r="278">
      <c r="A278" s="148"/>
    </row>
    <row r="279">
      <c r="A279" s="148"/>
    </row>
    <row r="280">
      <c r="A280" s="148"/>
    </row>
    <row r="281">
      <c r="A281" s="148"/>
    </row>
    <row r="282">
      <c r="A282" s="148"/>
    </row>
    <row r="283">
      <c r="A283" s="148"/>
    </row>
    <row r="284">
      <c r="A284" s="148"/>
    </row>
    <row r="285">
      <c r="A285" s="148"/>
    </row>
    <row r="286">
      <c r="A286" s="148"/>
    </row>
    <row r="287">
      <c r="A287" s="148"/>
    </row>
    <row r="288">
      <c r="A288" s="148"/>
    </row>
    <row r="289">
      <c r="A289" s="148"/>
    </row>
    <row r="290">
      <c r="A290" s="148"/>
    </row>
    <row r="291">
      <c r="A291" s="148"/>
    </row>
    <row r="292">
      <c r="A292" s="148"/>
    </row>
    <row r="293">
      <c r="A293" s="148"/>
    </row>
    <row r="294">
      <c r="A294" s="148"/>
    </row>
    <row r="295">
      <c r="A295" s="148"/>
    </row>
    <row r="296">
      <c r="A296" s="148"/>
    </row>
    <row r="297">
      <c r="A297" s="148"/>
    </row>
    <row r="298">
      <c r="A298" s="148"/>
    </row>
    <row r="299">
      <c r="A299" s="148"/>
    </row>
    <row r="300">
      <c r="A300" s="148"/>
    </row>
    <row r="301">
      <c r="A301" s="148"/>
    </row>
    <row r="302">
      <c r="A302" s="148"/>
    </row>
    <row r="303">
      <c r="A303" s="148"/>
    </row>
    <row r="304">
      <c r="A304" s="148"/>
    </row>
    <row r="305">
      <c r="A305" s="148"/>
    </row>
    <row r="306">
      <c r="A306" s="148"/>
    </row>
    <row r="307">
      <c r="A307" s="148"/>
    </row>
    <row r="308">
      <c r="A308" s="148"/>
    </row>
    <row r="309">
      <c r="A309" s="148"/>
    </row>
    <row r="310">
      <c r="A310" s="148"/>
    </row>
    <row r="311">
      <c r="A311" s="148"/>
    </row>
    <row r="312">
      <c r="A312" s="148"/>
    </row>
    <row r="313">
      <c r="A313" s="148"/>
    </row>
    <row r="314">
      <c r="A314" s="148"/>
    </row>
    <row r="315">
      <c r="A315" s="148"/>
    </row>
    <row r="316">
      <c r="A316" s="148"/>
    </row>
    <row r="317">
      <c r="A317" s="148"/>
    </row>
    <row r="318">
      <c r="A318" s="148"/>
    </row>
    <row r="319">
      <c r="A319" s="148"/>
    </row>
    <row r="320">
      <c r="A320" s="148"/>
    </row>
    <row r="321">
      <c r="A321" s="148"/>
    </row>
    <row r="322">
      <c r="A322" s="148"/>
    </row>
    <row r="323">
      <c r="A323" s="148"/>
    </row>
    <row r="324">
      <c r="A324" s="148"/>
    </row>
    <row r="325">
      <c r="A325" s="148"/>
    </row>
    <row r="326">
      <c r="A326" s="148"/>
    </row>
    <row r="327">
      <c r="A327" s="148"/>
    </row>
    <row r="328">
      <c r="A328" s="148"/>
    </row>
    <row r="329">
      <c r="A329" s="148"/>
    </row>
    <row r="330">
      <c r="A330" s="148"/>
    </row>
    <row r="331">
      <c r="A331" s="148"/>
    </row>
    <row r="332">
      <c r="A332" s="148"/>
    </row>
    <row r="333">
      <c r="A333" s="148"/>
    </row>
    <row r="334">
      <c r="A334" s="148"/>
    </row>
    <row r="335">
      <c r="A335" s="148"/>
    </row>
    <row r="336">
      <c r="A336" s="148"/>
    </row>
    <row r="337">
      <c r="A337" s="148"/>
    </row>
    <row r="338">
      <c r="A338" s="148"/>
    </row>
    <row r="339">
      <c r="A339" s="148"/>
    </row>
    <row r="340">
      <c r="A340" s="148"/>
    </row>
    <row r="341">
      <c r="A341" s="148"/>
    </row>
    <row r="342">
      <c r="A342" s="148"/>
    </row>
    <row r="343">
      <c r="A343" s="148"/>
    </row>
    <row r="344">
      <c r="A344" s="148"/>
    </row>
    <row r="345">
      <c r="A345" s="148"/>
    </row>
    <row r="346">
      <c r="A346" s="148"/>
    </row>
    <row r="347">
      <c r="A347" s="148"/>
    </row>
    <row r="348">
      <c r="A348" s="148"/>
    </row>
    <row r="349">
      <c r="A349" s="148"/>
    </row>
    <row r="350">
      <c r="A350" s="148"/>
    </row>
    <row r="351">
      <c r="A351" s="148"/>
    </row>
    <row r="352">
      <c r="A352" s="148"/>
    </row>
    <row r="353">
      <c r="A353" s="148"/>
    </row>
    <row r="354">
      <c r="A354" s="148"/>
    </row>
    <row r="355">
      <c r="A355" s="148"/>
    </row>
    <row r="356">
      <c r="A356" s="148"/>
    </row>
    <row r="357">
      <c r="A357" s="148"/>
    </row>
    <row r="358">
      <c r="A358" s="148"/>
    </row>
    <row r="359">
      <c r="A359" s="148"/>
    </row>
    <row r="360">
      <c r="A360" s="148"/>
    </row>
    <row r="361">
      <c r="A361" s="148"/>
    </row>
    <row r="362">
      <c r="A362" s="148"/>
    </row>
    <row r="363">
      <c r="A363" s="148"/>
    </row>
    <row r="364">
      <c r="A364" s="148"/>
    </row>
    <row r="365">
      <c r="A365" s="148"/>
    </row>
    <row r="366">
      <c r="A366" s="148"/>
    </row>
    <row r="367">
      <c r="A367" s="148"/>
    </row>
    <row r="368">
      <c r="A368" s="148"/>
    </row>
    <row r="369">
      <c r="A369" s="148"/>
    </row>
    <row r="370">
      <c r="A370" s="148"/>
    </row>
    <row r="371">
      <c r="A371" s="148"/>
    </row>
    <row r="372">
      <c r="A372" s="148"/>
    </row>
    <row r="373">
      <c r="A373" s="148"/>
    </row>
    <row r="374">
      <c r="A374" s="148"/>
    </row>
    <row r="375">
      <c r="A375" s="148"/>
    </row>
    <row r="376">
      <c r="A376" s="148"/>
    </row>
    <row r="377">
      <c r="A377" s="148"/>
    </row>
    <row r="378">
      <c r="A378" s="148"/>
    </row>
    <row r="379">
      <c r="A379" s="148"/>
    </row>
    <row r="380">
      <c r="A380" s="148"/>
    </row>
    <row r="381">
      <c r="A381" s="148"/>
    </row>
    <row r="382">
      <c r="A382" s="148"/>
    </row>
    <row r="383">
      <c r="A383" s="148"/>
    </row>
    <row r="384">
      <c r="A384" s="148"/>
    </row>
    <row r="385">
      <c r="A385" s="148"/>
    </row>
    <row r="386">
      <c r="A386" s="148"/>
    </row>
    <row r="387">
      <c r="A387" s="148"/>
    </row>
    <row r="388">
      <c r="A388" s="148"/>
    </row>
    <row r="389">
      <c r="A389" s="148"/>
    </row>
    <row r="390">
      <c r="A390" s="148"/>
    </row>
    <row r="391">
      <c r="A391" s="148"/>
    </row>
    <row r="392">
      <c r="A392" s="148"/>
    </row>
    <row r="393">
      <c r="A393" s="148"/>
    </row>
    <row r="394">
      <c r="A394" s="148"/>
    </row>
    <row r="395">
      <c r="A395" s="148"/>
    </row>
    <row r="396">
      <c r="A396" s="148"/>
    </row>
    <row r="397">
      <c r="A397" s="148"/>
    </row>
    <row r="398">
      <c r="A398" s="148"/>
    </row>
    <row r="399">
      <c r="A399" s="148"/>
    </row>
    <row r="400">
      <c r="A400" s="148"/>
    </row>
    <row r="401">
      <c r="A401" s="148"/>
    </row>
    <row r="402">
      <c r="A402" s="148"/>
    </row>
    <row r="403">
      <c r="A403" s="148"/>
    </row>
    <row r="404">
      <c r="A404" s="148"/>
    </row>
    <row r="405">
      <c r="A405" s="148"/>
    </row>
    <row r="406">
      <c r="A406" s="148"/>
    </row>
    <row r="407">
      <c r="A407" s="148"/>
    </row>
    <row r="408">
      <c r="A408" s="148"/>
    </row>
    <row r="409">
      <c r="A409" s="148"/>
    </row>
    <row r="410">
      <c r="A410" s="148"/>
    </row>
    <row r="411">
      <c r="A411" s="148"/>
    </row>
    <row r="412">
      <c r="A412" s="148"/>
    </row>
    <row r="413">
      <c r="A413" s="148"/>
    </row>
    <row r="414">
      <c r="A414" s="148"/>
    </row>
    <row r="415">
      <c r="A415" s="148"/>
    </row>
    <row r="416">
      <c r="A416" s="148"/>
    </row>
    <row r="417">
      <c r="A417" s="148"/>
    </row>
    <row r="418">
      <c r="A418" s="148"/>
    </row>
    <row r="419">
      <c r="A419" s="148"/>
    </row>
    <row r="420">
      <c r="A420" s="148"/>
    </row>
    <row r="421">
      <c r="A421" s="148"/>
    </row>
    <row r="422">
      <c r="A422" s="148"/>
    </row>
    <row r="423">
      <c r="A423" s="148"/>
    </row>
    <row r="424">
      <c r="A424" s="148"/>
    </row>
    <row r="425">
      <c r="A425" s="148"/>
    </row>
    <row r="426">
      <c r="A426" s="148"/>
    </row>
    <row r="427">
      <c r="A427" s="148"/>
    </row>
    <row r="428">
      <c r="A428" s="148"/>
    </row>
    <row r="429">
      <c r="A429" s="148"/>
    </row>
    <row r="430">
      <c r="A430" s="148"/>
    </row>
    <row r="431">
      <c r="A431" s="148"/>
    </row>
    <row r="432">
      <c r="A432" s="148"/>
    </row>
    <row r="433">
      <c r="A433" s="148"/>
    </row>
    <row r="434">
      <c r="A434" s="148"/>
    </row>
    <row r="435">
      <c r="A435" s="148"/>
    </row>
    <row r="436">
      <c r="A436" s="148"/>
    </row>
    <row r="437">
      <c r="A437" s="148"/>
    </row>
    <row r="438">
      <c r="A438" s="148"/>
    </row>
    <row r="439">
      <c r="A439" s="148"/>
    </row>
    <row r="440">
      <c r="A440" s="148"/>
    </row>
    <row r="441">
      <c r="A441" s="148"/>
    </row>
    <row r="442">
      <c r="A442" s="148"/>
    </row>
    <row r="443">
      <c r="A443" s="148"/>
    </row>
    <row r="444">
      <c r="A444" s="148"/>
    </row>
    <row r="445">
      <c r="A445" s="148"/>
    </row>
    <row r="446">
      <c r="A446" s="148"/>
    </row>
    <row r="447">
      <c r="A447" s="148"/>
    </row>
    <row r="448">
      <c r="A448" s="148"/>
    </row>
    <row r="449">
      <c r="A449" s="148"/>
    </row>
    <row r="450">
      <c r="A450" s="148"/>
    </row>
    <row r="451">
      <c r="A451" s="148"/>
    </row>
    <row r="452">
      <c r="A452" s="148"/>
    </row>
    <row r="453">
      <c r="A453" s="148"/>
    </row>
    <row r="454">
      <c r="A454" s="148"/>
    </row>
    <row r="455">
      <c r="A455" s="148"/>
    </row>
    <row r="456">
      <c r="A456" s="148"/>
    </row>
    <row r="457">
      <c r="A457" s="148"/>
    </row>
    <row r="458">
      <c r="A458" s="148"/>
    </row>
    <row r="459">
      <c r="A459" s="148"/>
    </row>
    <row r="460">
      <c r="A460" s="148"/>
    </row>
    <row r="461">
      <c r="A461" s="148"/>
    </row>
    <row r="462">
      <c r="A462" s="148"/>
    </row>
    <row r="463">
      <c r="A463" s="148"/>
    </row>
    <row r="464">
      <c r="A464" s="148"/>
    </row>
    <row r="465">
      <c r="A465" s="148"/>
    </row>
    <row r="466">
      <c r="A466" s="148"/>
    </row>
    <row r="467">
      <c r="A467" s="148"/>
    </row>
    <row r="468">
      <c r="A468" s="148"/>
    </row>
    <row r="469">
      <c r="A469" s="148"/>
    </row>
    <row r="470">
      <c r="A470" s="148"/>
    </row>
    <row r="471">
      <c r="A471" s="148"/>
    </row>
    <row r="472">
      <c r="A472" s="148"/>
    </row>
    <row r="473">
      <c r="A473" s="148"/>
    </row>
    <row r="474">
      <c r="A474" s="148"/>
    </row>
    <row r="475">
      <c r="A475" s="148"/>
    </row>
    <row r="476">
      <c r="A476" s="148"/>
    </row>
    <row r="477">
      <c r="A477" s="148"/>
    </row>
    <row r="478">
      <c r="A478" s="148"/>
    </row>
    <row r="479">
      <c r="A479" s="148"/>
    </row>
    <row r="480">
      <c r="A480" s="148"/>
    </row>
    <row r="481">
      <c r="A481" s="148"/>
    </row>
    <row r="482">
      <c r="A482" s="148"/>
    </row>
    <row r="483">
      <c r="A483" s="148"/>
    </row>
    <row r="484">
      <c r="A484" s="148"/>
    </row>
    <row r="485">
      <c r="A485" s="148"/>
    </row>
    <row r="486">
      <c r="A486" s="148"/>
    </row>
    <row r="487">
      <c r="A487" s="148"/>
    </row>
    <row r="488">
      <c r="A488" s="148"/>
    </row>
    <row r="489">
      <c r="A489" s="148"/>
    </row>
    <row r="490">
      <c r="A490" s="148"/>
    </row>
    <row r="491">
      <c r="A491" s="148"/>
    </row>
    <row r="492">
      <c r="A492" s="148"/>
    </row>
    <row r="493">
      <c r="A493" s="148"/>
    </row>
    <row r="494">
      <c r="A494" s="148"/>
    </row>
    <row r="495">
      <c r="A495" s="148"/>
    </row>
    <row r="496">
      <c r="A496" s="148"/>
    </row>
    <row r="497">
      <c r="A497" s="148"/>
    </row>
    <row r="498">
      <c r="A498" s="148"/>
    </row>
    <row r="499">
      <c r="A499" s="148"/>
    </row>
    <row r="500">
      <c r="A500" s="148"/>
    </row>
    <row r="501">
      <c r="A501" s="148"/>
    </row>
    <row r="502">
      <c r="A502" s="148"/>
    </row>
    <row r="503">
      <c r="A503" s="148"/>
    </row>
    <row r="504">
      <c r="A504" s="148"/>
    </row>
    <row r="505">
      <c r="A505" s="148"/>
    </row>
    <row r="506">
      <c r="A506" s="148"/>
    </row>
    <row r="507">
      <c r="A507" s="148"/>
    </row>
    <row r="508">
      <c r="A508" s="148"/>
    </row>
    <row r="509">
      <c r="A509" s="148"/>
    </row>
    <row r="510">
      <c r="A510" s="148"/>
    </row>
    <row r="511">
      <c r="A511" s="148"/>
    </row>
    <row r="512">
      <c r="A512" s="148"/>
    </row>
    <row r="513">
      <c r="A513" s="148"/>
    </row>
    <row r="514">
      <c r="A514" s="148"/>
    </row>
    <row r="515">
      <c r="A515" s="148"/>
    </row>
    <row r="516">
      <c r="A516" s="148"/>
    </row>
    <row r="517">
      <c r="A517" s="148"/>
    </row>
    <row r="518">
      <c r="A518" s="148"/>
    </row>
    <row r="519">
      <c r="A519" s="148"/>
    </row>
    <row r="520">
      <c r="A520" s="148"/>
    </row>
    <row r="521">
      <c r="A521" s="148"/>
    </row>
    <row r="522">
      <c r="A522" s="148"/>
    </row>
    <row r="523">
      <c r="A523" s="148"/>
    </row>
    <row r="524">
      <c r="A524" s="148"/>
    </row>
    <row r="525">
      <c r="A525" s="148"/>
    </row>
    <row r="526">
      <c r="A526" s="148"/>
    </row>
    <row r="527">
      <c r="A527" s="148"/>
    </row>
    <row r="528">
      <c r="A528" s="148"/>
    </row>
    <row r="529">
      <c r="A529" s="148"/>
    </row>
    <row r="530">
      <c r="A530" s="148"/>
    </row>
    <row r="531">
      <c r="A531" s="148"/>
    </row>
    <row r="532">
      <c r="A532" s="148"/>
    </row>
    <row r="533">
      <c r="A533" s="148"/>
    </row>
    <row r="534">
      <c r="A534" s="148"/>
    </row>
    <row r="535">
      <c r="A535" s="148"/>
    </row>
    <row r="536">
      <c r="A536" s="148"/>
    </row>
    <row r="537">
      <c r="A537" s="148"/>
    </row>
    <row r="538">
      <c r="A538" s="148"/>
    </row>
    <row r="539">
      <c r="A539" s="148"/>
    </row>
    <row r="540">
      <c r="A540" s="148"/>
    </row>
    <row r="541">
      <c r="A541" s="148"/>
    </row>
    <row r="542">
      <c r="A542" s="148"/>
    </row>
    <row r="543">
      <c r="A543" s="148"/>
    </row>
    <row r="544">
      <c r="A544" s="148"/>
    </row>
    <row r="545">
      <c r="A545" s="148"/>
    </row>
    <row r="546">
      <c r="A546" s="148"/>
    </row>
    <row r="547">
      <c r="A547" s="148"/>
    </row>
    <row r="548">
      <c r="A548" s="148"/>
    </row>
    <row r="549">
      <c r="A549" s="148"/>
    </row>
    <row r="550">
      <c r="A550" s="148"/>
    </row>
    <row r="551">
      <c r="A551" s="148"/>
    </row>
    <row r="552">
      <c r="A552" s="148"/>
    </row>
    <row r="553">
      <c r="A553" s="148"/>
    </row>
    <row r="554">
      <c r="A554" s="148"/>
    </row>
    <row r="555">
      <c r="A555" s="148"/>
    </row>
    <row r="556">
      <c r="A556" s="148"/>
    </row>
    <row r="557">
      <c r="A557" s="148"/>
    </row>
    <row r="558">
      <c r="A558" s="148"/>
    </row>
    <row r="559">
      <c r="A559" s="148"/>
    </row>
    <row r="560">
      <c r="A560" s="148"/>
    </row>
    <row r="561">
      <c r="A561" s="148"/>
    </row>
    <row r="562">
      <c r="A562" s="148"/>
    </row>
    <row r="563">
      <c r="A563" s="148"/>
    </row>
    <row r="564">
      <c r="A564" s="148"/>
    </row>
    <row r="565">
      <c r="A565" s="148"/>
    </row>
    <row r="566">
      <c r="A566" s="148"/>
    </row>
    <row r="567">
      <c r="A567" s="148"/>
    </row>
    <row r="568">
      <c r="A568" s="148"/>
    </row>
    <row r="569">
      <c r="A569" s="148"/>
    </row>
    <row r="570">
      <c r="A570" s="148"/>
    </row>
    <row r="571">
      <c r="A571" s="148"/>
    </row>
    <row r="572">
      <c r="A572" s="148"/>
    </row>
    <row r="573">
      <c r="A573" s="148"/>
    </row>
    <row r="574">
      <c r="A574" s="148"/>
    </row>
    <row r="575">
      <c r="A575" s="148"/>
    </row>
    <row r="576">
      <c r="A576" s="148"/>
    </row>
    <row r="577">
      <c r="A577" s="148"/>
    </row>
    <row r="578">
      <c r="A578" s="148"/>
    </row>
    <row r="579">
      <c r="A579" s="148"/>
    </row>
    <row r="580">
      <c r="A580" s="148"/>
    </row>
    <row r="581">
      <c r="A581" s="148"/>
    </row>
    <row r="582">
      <c r="A582" s="148"/>
    </row>
    <row r="583">
      <c r="A583" s="148"/>
    </row>
    <row r="584">
      <c r="A584" s="148"/>
    </row>
    <row r="585">
      <c r="A585" s="148"/>
    </row>
    <row r="586">
      <c r="A586" s="148"/>
    </row>
    <row r="587">
      <c r="A587" s="148"/>
    </row>
    <row r="588">
      <c r="A588" s="148"/>
    </row>
    <row r="589">
      <c r="A589" s="148"/>
    </row>
    <row r="590">
      <c r="A590" s="148"/>
    </row>
    <row r="591">
      <c r="A591" s="148"/>
    </row>
    <row r="592">
      <c r="A592" s="148"/>
    </row>
    <row r="593">
      <c r="A593" s="148"/>
    </row>
    <row r="594">
      <c r="A594" s="148"/>
    </row>
    <row r="595">
      <c r="A595" s="148"/>
    </row>
    <row r="596">
      <c r="A596" s="148"/>
    </row>
    <row r="597">
      <c r="A597" s="148"/>
    </row>
    <row r="598">
      <c r="A598" s="148"/>
    </row>
    <row r="599">
      <c r="A599" s="148"/>
    </row>
    <row r="600">
      <c r="A600" s="148"/>
    </row>
    <row r="601">
      <c r="A601" s="148"/>
    </row>
    <row r="602">
      <c r="A602" s="148"/>
    </row>
    <row r="603">
      <c r="A603" s="148"/>
    </row>
    <row r="604">
      <c r="A604" s="148"/>
    </row>
    <row r="605">
      <c r="A605" s="148"/>
    </row>
    <row r="606">
      <c r="A606" s="148"/>
    </row>
    <row r="607">
      <c r="A607" s="148"/>
    </row>
    <row r="608">
      <c r="A608" s="148"/>
    </row>
    <row r="609">
      <c r="A609" s="148"/>
    </row>
    <row r="610">
      <c r="A610" s="148"/>
    </row>
    <row r="611">
      <c r="A611" s="148"/>
    </row>
    <row r="612">
      <c r="A612" s="148"/>
    </row>
    <row r="613">
      <c r="A613" s="148"/>
    </row>
    <row r="614">
      <c r="A614" s="148"/>
    </row>
    <row r="615">
      <c r="A615" s="148"/>
    </row>
    <row r="616">
      <c r="A616" s="148"/>
    </row>
    <row r="617">
      <c r="A617" s="148"/>
    </row>
    <row r="618">
      <c r="A618" s="148"/>
    </row>
    <row r="619">
      <c r="A619" s="148"/>
    </row>
    <row r="620">
      <c r="A620" s="148"/>
    </row>
    <row r="621">
      <c r="A621" s="148"/>
    </row>
    <row r="622">
      <c r="A622" s="148"/>
    </row>
    <row r="623">
      <c r="A623" s="148"/>
    </row>
    <row r="624">
      <c r="A624" s="148"/>
    </row>
    <row r="625">
      <c r="A625" s="148"/>
    </row>
    <row r="626">
      <c r="A626" s="148"/>
    </row>
    <row r="627">
      <c r="A627" s="148"/>
    </row>
    <row r="628">
      <c r="A628" s="148"/>
    </row>
    <row r="629">
      <c r="A629" s="148"/>
    </row>
    <row r="630">
      <c r="A630" s="148"/>
    </row>
    <row r="631">
      <c r="A631" s="148"/>
    </row>
    <row r="632">
      <c r="A632" s="148"/>
    </row>
    <row r="633">
      <c r="A633" s="148"/>
    </row>
    <row r="634">
      <c r="A634" s="148"/>
    </row>
    <row r="635">
      <c r="A635" s="148"/>
    </row>
    <row r="636">
      <c r="A636" s="148"/>
    </row>
    <row r="637">
      <c r="A637" s="148"/>
    </row>
    <row r="638">
      <c r="A638" s="148"/>
    </row>
    <row r="639">
      <c r="A639" s="148"/>
    </row>
    <row r="640">
      <c r="A640" s="148"/>
    </row>
    <row r="641">
      <c r="A641" s="148"/>
    </row>
    <row r="642">
      <c r="A642" s="148"/>
    </row>
    <row r="643">
      <c r="A643" s="148"/>
    </row>
    <row r="644">
      <c r="A644" s="148"/>
    </row>
    <row r="645">
      <c r="A645" s="148"/>
    </row>
    <row r="646">
      <c r="A646" s="148"/>
    </row>
    <row r="647">
      <c r="A647" s="148"/>
    </row>
    <row r="648">
      <c r="A648" s="148"/>
    </row>
    <row r="649">
      <c r="A649" s="148"/>
    </row>
    <row r="650">
      <c r="A650" s="148"/>
    </row>
    <row r="651">
      <c r="A651" s="148"/>
    </row>
    <row r="652">
      <c r="A652" s="148"/>
    </row>
    <row r="653">
      <c r="A653" s="148"/>
    </row>
    <row r="654">
      <c r="A654" s="148"/>
    </row>
    <row r="655">
      <c r="A655" s="148"/>
    </row>
    <row r="656">
      <c r="A656" s="148"/>
    </row>
    <row r="657">
      <c r="A657" s="148"/>
    </row>
    <row r="658">
      <c r="A658" s="148"/>
    </row>
    <row r="659">
      <c r="A659" s="148"/>
    </row>
    <row r="660">
      <c r="A660" s="148"/>
    </row>
    <row r="661">
      <c r="A661" s="148"/>
    </row>
    <row r="662">
      <c r="A662" s="148"/>
    </row>
    <row r="663">
      <c r="A663" s="148"/>
    </row>
    <row r="664">
      <c r="A664" s="148"/>
    </row>
    <row r="665">
      <c r="A665" s="148"/>
    </row>
    <row r="666">
      <c r="A666" s="148"/>
    </row>
    <row r="667">
      <c r="A667" s="148"/>
    </row>
    <row r="668">
      <c r="A668" s="148"/>
    </row>
    <row r="669">
      <c r="A669" s="148"/>
    </row>
    <row r="670">
      <c r="A670" s="148"/>
    </row>
    <row r="671">
      <c r="A671" s="148"/>
    </row>
    <row r="672">
      <c r="A672" s="148"/>
    </row>
    <row r="673">
      <c r="A673" s="148"/>
    </row>
    <row r="674">
      <c r="A674" s="148"/>
    </row>
    <row r="675">
      <c r="A675" s="148"/>
    </row>
    <row r="676">
      <c r="A676" s="148"/>
    </row>
    <row r="677">
      <c r="A677" s="148"/>
    </row>
    <row r="678">
      <c r="A678" s="148"/>
    </row>
    <row r="679">
      <c r="A679" s="148"/>
    </row>
    <row r="680">
      <c r="A680" s="148"/>
    </row>
    <row r="681">
      <c r="A681" s="148"/>
    </row>
    <row r="682">
      <c r="A682" s="148"/>
    </row>
    <row r="683">
      <c r="A683" s="148"/>
    </row>
    <row r="684">
      <c r="A684" s="148"/>
    </row>
    <row r="685">
      <c r="A685" s="148"/>
    </row>
    <row r="686">
      <c r="A686" s="148"/>
    </row>
    <row r="687">
      <c r="A687" s="148"/>
    </row>
    <row r="688">
      <c r="A688" s="148"/>
    </row>
    <row r="689">
      <c r="A689" s="148"/>
    </row>
    <row r="690">
      <c r="A690" s="148"/>
    </row>
    <row r="691">
      <c r="A691" s="148"/>
    </row>
    <row r="692">
      <c r="A692" s="148"/>
    </row>
    <row r="693">
      <c r="A693" s="148"/>
    </row>
    <row r="694">
      <c r="A694" s="148"/>
    </row>
    <row r="695">
      <c r="A695" s="148"/>
    </row>
    <row r="696">
      <c r="A696" s="148"/>
    </row>
    <row r="697">
      <c r="A697" s="148"/>
    </row>
    <row r="698">
      <c r="A698" s="148"/>
    </row>
    <row r="699">
      <c r="A699" s="148"/>
    </row>
    <row r="700">
      <c r="A700" s="148"/>
    </row>
    <row r="701">
      <c r="A701" s="148"/>
    </row>
    <row r="702">
      <c r="A702" s="148"/>
    </row>
    <row r="703">
      <c r="A703" s="148"/>
    </row>
    <row r="704">
      <c r="A704" s="148"/>
    </row>
    <row r="705">
      <c r="A705" s="148"/>
    </row>
    <row r="706">
      <c r="A706" s="148"/>
    </row>
    <row r="707">
      <c r="A707" s="148"/>
    </row>
    <row r="708">
      <c r="A708" s="148"/>
    </row>
    <row r="709">
      <c r="A709" s="148"/>
    </row>
    <row r="710">
      <c r="A710" s="148"/>
    </row>
    <row r="711">
      <c r="A711" s="148"/>
    </row>
    <row r="712">
      <c r="A712" s="148"/>
    </row>
    <row r="713">
      <c r="A713" s="148"/>
    </row>
    <row r="714">
      <c r="A714" s="148"/>
    </row>
    <row r="715">
      <c r="A715" s="148"/>
    </row>
    <row r="716">
      <c r="A716" s="148"/>
    </row>
    <row r="717">
      <c r="A717" s="148"/>
    </row>
    <row r="718">
      <c r="A718" s="148"/>
    </row>
    <row r="719">
      <c r="A719" s="148"/>
    </row>
    <row r="720">
      <c r="A720" s="148"/>
    </row>
    <row r="721">
      <c r="A721" s="148"/>
    </row>
    <row r="722">
      <c r="A722" s="148"/>
    </row>
    <row r="723">
      <c r="A723" s="148"/>
    </row>
    <row r="724">
      <c r="A724" s="148"/>
    </row>
    <row r="725">
      <c r="A725" s="148"/>
    </row>
    <row r="726">
      <c r="A726" s="148"/>
    </row>
    <row r="727">
      <c r="A727" s="148"/>
    </row>
    <row r="728">
      <c r="A728" s="148"/>
    </row>
    <row r="729">
      <c r="A729" s="148"/>
    </row>
    <row r="730">
      <c r="A730" s="148"/>
    </row>
    <row r="731">
      <c r="A731" s="148"/>
    </row>
    <row r="732">
      <c r="A732" s="148"/>
    </row>
    <row r="733">
      <c r="A733" s="148"/>
    </row>
    <row r="734">
      <c r="A734" s="148"/>
    </row>
    <row r="735">
      <c r="A735" s="148"/>
    </row>
    <row r="736">
      <c r="A736" s="148"/>
    </row>
    <row r="737">
      <c r="A737" s="148"/>
    </row>
    <row r="738">
      <c r="A738" s="148"/>
    </row>
    <row r="739">
      <c r="A739" s="148"/>
    </row>
    <row r="740">
      <c r="A740" s="148"/>
    </row>
    <row r="741">
      <c r="A741" s="148"/>
    </row>
    <row r="742">
      <c r="A742" s="148"/>
    </row>
    <row r="743">
      <c r="A743" s="148"/>
    </row>
    <row r="744">
      <c r="A744" s="148"/>
    </row>
    <row r="745">
      <c r="A745" s="148"/>
    </row>
    <row r="746">
      <c r="A746" s="148"/>
    </row>
    <row r="747">
      <c r="A747" s="148"/>
    </row>
    <row r="748">
      <c r="A748" s="148"/>
    </row>
    <row r="749">
      <c r="A749" s="148"/>
    </row>
    <row r="750">
      <c r="A750" s="148"/>
    </row>
    <row r="751">
      <c r="A751" s="148"/>
    </row>
    <row r="752">
      <c r="A752" s="148"/>
    </row>
    <row r="753">
      <c r="A753" s="148"/>
    </row>
    <row r="754">
      <c r="A754" s="148"/>
    </row>
    <row r="755">
      <c r="A755" s="148"/>
    </row>
    <row r="756">
      <c r="A756" s="148"/>
    </row>
    <row r="757">
      <c r="A757" s="148"/>
    </row>
    <row r="758">
      <c r="A758" s="148"/>
    </row>
    <row r="759">
      <c r="A759" s="148"/>
    </row>
    <row r="760">
      <c r="A760" s="148"/>
    </row>
    <row r="761">
      <c r="A761" s="148"/>
    </row>
    <row r="762">
      <c r="A762" s="148"/>
    </row>
    <row r="763">
      <c r="A763" s="148"/>
    </row>
    <row r="764">
      <c r="A764" s="148"/>
    </row>
    <row r="765">
      <c r="A765" s="148"/>
    </row>
    <row r="766">
      <c r="A766" s="148"/>
    </row>
    <row r="767">
      <c r="A767" s="148"/>
    </row>
    <row r="768">
      <c r="A768" s="148"/>
    </row>
    <row r="769">
      <c r="A769" s="148"/>
    </row>
    <row r="770">
      <c r="A770" s="148"/>
    </row>
    <row r="771">
      <c r="A771" s="148"/>
    </row>
    <row r="772">
      <c r="A772" s="148"/>
    </row>
    <row r="773">
      <c r="A773" s="148"/>
    </row>
    <row r="774">
      <c r="A774" s="148"/>
    </row>
    <row r="775">
      <c r="A775" s="148"/>
    </row>
    <row r="776">
      <c r="A776" s="148"/>
    </row>
    <row r="777">
      <c r="A777" s="148"/>
    </row>
    <row r="778">
      <c r="A778" s="148"/>
    </row>
    <row r="779">
      <c r="A779" s="148"/>
    </row>
    <row r="780">
      <c r="A780" s="148"/>
    </row>
    <row r="781">
      <c r="A781" s="148"/>
    </row>
    <row r="782">
      <c r="A782" s="148"/>
    </row>
    <row r="783">
      <c r="A783" s="148"/>
    </row>
    <row r="784">
      <c r="A784" s="148"/>
    </row>
    <row r="785">
      <c r="A785" s="148"/>
    </row>
    <row r="786">
      <c r="A786" s="148"/>
    </row>
    <row r="787">
      <c r="A787" s="148"/>
    </row>
    <row r="788">
      <c r="A788" s="148"/>
    </row>
    <row r="789">
      <c r="A789" s="148"/>
    </row>
    <row r="790">
      <c r="A790" s="148"/>
    </row>
    <row r="791">
      <c r="A791" s="148"/>
    </row>
    <row r="792">
      <c r="A792" s="148"/>
    </row>
    <row r="793">
      <c r="A793" s="148"/>
    </row>
    <row r="794">
      <c r="A794" s="148"/>
    </row>
    <row r="795">
      <c r="A795" s="148"/>
    </row>
    <row r="796">
      <c r="A796" s="148"/>
    </row>
    <row r="797">
      <c r="A797" s="148"/>
    </row>
    <row r="798">
      <c r="A798" s="148"/>
    </row>
    <row r="799">
      <c r="A799" s="148"/>
    </row>
    <row r="800">
      <c r="A800" s="148"/>
    </row>
    <row r="801">
      <c r="A801" s="148"/>
    </row>
    <row r="802">
      <c r="A802" s="148"/>
    </row>
    <row r="803">
      <c r="A803" s="148"/>
    </row>
    <row r="804">
      <c r="A804" s="148"/>
    </row>
    <row r="805">
      <c r="A805" s="148"/>
    </row>
    <row r="806">
      <c r="A806" s="148"/>
    </row>
    <row r="807">
      <c r="A807" s="148"/>
    </row>
    <row r="808">
      <c r="A808" s="148"/>
    </row>
    <row r="809">
      <c r="A809" s="148"/>
    </row>
    <row r="810">
      <c r="A810" s="148"/>
    </row>
    <row r="811">
      <c r="A811" s="148"/>
    </row>
    <row r="812">
      <c r="A812" s="148"/>
    </row>
    <row r="813">
      <c r="A813" s="148"/>
    </row>
    <row r="814">
      <c r="A814" s="148"/>
    </row>
    <row r="815">
      <c r="A815" s="148"/>
    </row>
    <row r="816">
      <c r="A816" s="148"/>
    </row>
    <row r="817">
      <c r="A817" s="148"/>
    </row>
    <row r="818">
      <c r="A818" s="148"/>
    </row>
    <row r="819">
      <c r="A819" s="148"/>
    </row>
    <row r="820">
      <c r="A820" s="148"/>
    </row>
    <row r="821">
      <c r="A821" s="148"/>
    </row>
    <row r="822">
      <c r="A822" s="148"/>
    </row>
    <row r="823">
      <c r="A823" s="148"/>
    </row>
    <row r="824">
      <c r="A824" s="148"/>
    </row>
    <row r="825">
      <c r="A825" s="148"/>
    </row>
    <row r="826">
      <c r="A826" s="148"/>
    </row>
    <row r="827">
      <c r="A827" s="148"/>
    </row>
    <row r="828">
      <c r="A828" s="148"/>
    </row>
    <row r="829">
      <c r="A829" s="148"/>
    </row>
    <row r="830">
      <c r="A830" s="148"/>
    </row>
    <row r="831">
      <c r="A831" s="148"/>
    </row>
    <row r="832">
      <c r="A832" s="148"/>
    </row>
    <row r="833">
      <c r="A833" s="148"/>
    </row>
    <row r="834">
      <c r="A834" s="148"/>
    </row>
    <row r="835">
      <c r="A835" s="148"/>
    </row>
    <row r="836">
      <c r="A836" s="148"/>
    </row>
    <row r="837">
      <c r="A837" s="148"/>
    </row>
    <row r="838">
      <c r="A838" s="148"/>
    </row>
    <row r="839">
      <c r="A839" s="148"/>
    </row>
    <row r="840">
      <c r="A840" s="148"/>
    </row>
    <row r="841">
      <c r="A841" s="148"/>
    </row>
    <row r="842">
      <c r="A842" s="148"/>
    </row>
    <row r="843">
      <c r="A843" s="148"/>
    </row>
    <row r="844">
      <c r="A844" s="148"/>
    </row>
    <row r="845">
      <c r="A845" s="148"/>
    </row>
    <row r="846">
      <c r="A846" s="148"/>
    </row>
    <row r="847">
      <c r="A847" s="148"/>
    </row>
    <row r="848">
      <c r="A848" s="148"/>
    </row>
    <row r="849">
      <c r="A849" s="148"/>
    </row>
    <row r="850">
      <c r="A850" s="148"/>
    </row>
    <row r="851">
      <c r="A851" s="148"/>
    </row>
    <row r="852">
      <c r="A852" s="148"/>
    </row>
    <row r="853">
      <c r="A853" s="148"/>
    </row>
    <row r="854">
      <c r="A854" s="148"/>
    </row>
    <row r="855">
      <c r="A855" s="148"/>
    </row>
    <row r="856">
      <c r="A856" s="148"/>
    </row>
    <row r="857">
      <c r="A857" s="148"/>
    </row>
    <row r="858">
      <c r="A858" s="148"/>
    </row>
    <row r="859">
      <c r="A859" s="148"/>
    </row>
    <row r="860">
      <c r="A860" s="148"/>
    </row>
    <row r="861">
      <c r="A861" s="148"/>
    </row>
    <row r="862">
      <c r="A862" s="148"/>
    </row>
    <row r="863">
      <c r="A863" s="148"/>
    </row>
    <row r="864">
      <c r="A864" s="148"/>
    </row>
    <row r="865">
      <c r="A865" s="148"/>
    </row>
    <row r="866">
      <c r="A866" s="148"/>
    </row>
    <row r="867">
      <c r="A867" s="148"/>
    </row>
    <row r="868">
      <c r="A868" s="148"/>
    </row>
    <row r="869">
      <c r="A869" s="148"/>
    </row>
    <row r="870">
      <c r="A870" s="148"/>
    </row>
    <row r="871">
      <c r="A871" s="148"/>
    </row>
    <row r="872">
      <c r="A872" s="148"/>
    </row>
    <row r="873">
      <c r="A873" s="148"/>
    </row>
    <row r="874">
      <c r="A874" s="148"/>
    </row>
    <row r="875">
      <c r="A875" s="148"/>
    </row>
    <row r="876">
      <c r="A876" s="148"/>
    </row>
    <row r="877">
      <c r="A877" s="148"/>
    </row>
    <row r="878">
      <c r="A878" s="148"/>
    </row>
    <row r="879">
      <c r="A879" s="148"/>
    </row>
    <row r="880">
      <c r="A880" s="148"/>
    </row>
    <row r="881">
      <c r="A881" s="148"/>
    </row>
    <row r="882">
      <c r="A882" s="148"/>
    </row>
    <row r="883">
      <c r="A883" s="148"/>
    </row>
    <row r="884">
      <c r="A884" s="148"/>
    </row>
    <row r="885">
      <c r="A885" s="148"/>
    </row>
    <row r="886">
      <c r="A886" s="148"/>
    </row>
    <row r="887">
      <c r="A887" s="148"/>
    </row>
    <row r="888">
      <c r="A888" s="148"/>
    </row>
    <row r="889">
      <c r="A889" s="148"/>
    </row>
    <row r="890">
      <c r="A890" s="148"/>
    </row>
    <row r="891">
      <c r="A891" s="148"/>
    </row>
    <row r="892">
      <c r="A892" s="148"/>
    </row>
    <row r="893">
      <c r="A893" s="148"/>
    </row>
    <row r="894">
      <c r="A894" s="148"/>
    </row>
    <row r="895">
      <c r="A895" s="148"/>
    </row>
    <row r="896">
      <c r="A896" s="148"/>
    </row>
    <row r="897">
      <c r="A897" s="148"/>
    </row>
    <row r="898">
      <c r="A898" s="148"/>
    </row>
    <row r="899">
      <c r="A899" s="148"/>
    </row>
    <row r="900">
      <c r="A900" s="148"/>
    </row>
    <row r="901">
      <c r="A901" s="148"/>
    </row>
    <row r="902">
      <c r="A902" s="148"/>
    </row>
    <row r="903">
      <c r="A903" s="148"/>
    </row>
    <row r="904">
      <c r="A904" s="148"/>
    </row>
    <row r="905">
      <c r="A905" s="148"/>
    </row>
    <row r="906">
      <c r="A906" s="148"/>
    </row>
    <row r="907">
      <c r="A907" s="148"/>
    </row>
    <row r="908">
      <c r="A908" s="148"/>
    </row>
    <row r="909">
      <c r="A909" s="148"/>
    </row>
    <row r="910">
      <c r="A910" s="148"/>
    </row>
    <row r="911">
      <c r="A911" s="148"/>
    </row>
    <row r="912">
      <c r="A912" s="148"/>
    </row>
    <row r="913">
      <c r="A913" s="148"/>
    </row>
    <row r="914">
      <c r="A914" s="148"/>
    </row>
    <row r="915">
      <c r="A915" s="148"/>
    </row>
    <row r="916">
      <c r="A916" s="148"/>
    </row>
    <row r="917">
      <c r="A917" s="148"/>
    </row>
    <row r="918">
      <c r="A918" s="148"/>
    </row>
    <row r="919">
      <c r="A919" s="148"/>
    </row>
    <row r="920">
      <c r="A920" s="148"/>
    </row>
    <row r="921">
      <c r="A921" s="148"/>
    </row>
    <row r="922">
      <c r="A922" s="148"/>
    </row>
    <row r="923">
      <c r="A923" s="148"/>
    </row>
    <row r="924">
      <c r="A924" s="148"/>
    </row>
    <row r="925">
      <c r="A925" s="148"/>
    </row>
    <row r="926">
      <c r="A926" s="148"/>
    </row>
    <row r="927">
      <c r="A927" s="148"/>
    </row>
    <row r="928">
      <c r="A928" s="148"/>
    </row>
    <row r="929">
      <c r="A929" s="148"/>
    </row>
    <row r="930">
      <c r="A930" s="148"/>
    </row>
    <row r="931">
      <c r="A931" s="148"/>
    </row>
    <row r="932">
      <c r="A932" s="148"/>
    </row>
    <row r="933">
      <c r="A933" s="148"/>
    </row>
    <row r="934">
      <c r="A934" s="148"/>
    </row>
    <row r="935">
      <c r="A935" s="148"/>
    </row>
    <row r="936">
      <c r="A936" s="148"/>
    </row>
    <row r="937">
      <c r="A937" s="148"/>
    </row>
    <row r="938">
      <c r="A938" s="148"/>
    </row>
    <row r="939">
      <c r="A939" s="148"/>
    </row>
    <row r="940">
      <c r="A940" s="148"/>
    </row>
    <row r="941">
      <c r="A941" s="148"/>
    </row>
    <row r="942">
      <c r="A942" s="148"/>
    </row>
    <row r="943">
      <c r="A943" s="148"/>
    </row>
    <row r="944">
      <c r="A944" s="148"/>
    </row>
    <row r="945">
      <c r="A945" s="148"/>
    </row>
    <row r="946">
      <c r="A946" s="148"/>
    </row>
    <row r="947">
      <c r="A947" s="148"/>
    </row>
    <row r="948">
      <c r="A948" s="148"/>
    </row>
    <row r="949">
      <c r="A949" s="148"/>
    </row>
    <row r="950">
      <c r="A950" s="148"/>
    </row>
    <row r="951">
      <c r="A951" s="148"/>
    </row>
    <row r="952">
      <c r="A952" s="148"/>
    </row>
    <row r="953">
      <c r="A953" s="148"/>
    </row>
    <row r="954">
      <c r="A954" s="148"/>
    </row>
    <row r="955">
      <c r="A955" s="148"/>
    </row>
    <row r="956">
      <c r="A956" s="148"/>
    </row>
    <row r="957">
      <c r="A957" s="148"/>
    </row>
    <row r="958">
      <c r="A958" s="148"/>
    </row>
    <row r="959">
      <c r="A959" s="148"/>
    </row>
    <row r="960">
      <c r="A960" s="148"/>
    </row>
    <row r="961">
      <c r="A961" s="148"/>
    </row>
    <row r="962">
      <c r="A962" s="148"/>
    </row>
    <row r="963">
      <c r="A963" s="148"/>
    </row>
    <row r="964">
      <c r="A964" s="148"/>
    </row>
    <row r="965">
      <c r="A965" s="148"/>
    </row>
    <row r="966">
      <c r="A966" s="148"/>
    </row>
    <row r="967">
      <c r="A967" s="148"/>
    </row>
    <row r="968">
      <c r="A968" s="148"/>
    </row>
    <row r="969">
      <c r="A969" s="148"/>
    </row>
    <row r="970">
      <c r="A970" s="148"/>
    </row>
    <row r="971">
      <c r="A971" s="148"/>
    </row>
    <row r="972">
      <c r="A972" s="148"/>
    </row>
    <row r="973">
      <c r="A973" s="148"/>
    </row>
    <row r="974">
      <c r="A974" s="148"/>
    </row>
    <row r="975">
      <c r="A975" s="148"/>
    </row>
    <row r="976">
      <c r="A976" s="148"/>
    </row>
    <row r="977">
      <c r="A977" s="148"/>
    </row>
    <row r="978">
      <c r="A978" s="148"/>
    </row>
    <row r="979">
      <c r="A979" s="148"/>
    </row>
    <row r="980">
      <c r="A980" s="148"/>
    </row>
    <row r="981">
      <c r="A981" s="148"/>
    </row>
    <row r="982">
      <c r="A982" s="148"/>
    </row>
    <row r="983">
      <c r="A983" s="148"/>
    </row>
    <row r="984">
      <c r="A984" s="148"/>
    </row>
    <row r="985">
      <c r="A985" s="148"/>
    </row>
    <row r="986">
      <c r="A986" s="148"/>
    </row>
    <row r="987">
      <c r="A987" s="148"/>
    </row>
    <row r="988">
      <c r="A988" s="148"/>
    </row>
    <row r="989">
      <c r="A989" s="148"/>
    </row>
    <row r="990">
      <c r="A990" s="148"/>
    </row>
    <row r="991">
      <c r="A991" s="148"/>
    </row>
    <row r="992">
      <c r="A992" s="148"/>
    </row>
    <row r="993">
      <c r="A993" s="148"/>
    </row>
    <row r="994">
      <c r="A994" s="148"/>
    </row>
    <row r="995">
      <c r="A995" s="148"/>
    </row>
    <row r="996">
      <c r="A996" s="148"/>
    </row>
    <row r="997">
      <c r="A997" s="148"/>
    </row>
    <row r="998">
      <c r="A998" s="148"/>
    </row>
    <row r="999">
      <c r="A999" s="148"/>
    </row>
    <row r="1000">
      <c r="A1000" s="148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5" max="5" width="38.0"/>
  </cols>
  <sheetData>
    <row r="1">
      <c r="A1" s="155" t="s">
        <v>609</v>
      </c>
      <c r="B1" s="155" t="s">
        <v>610</v>
      </c>
      <c r="C1" s="155" t="s">
        <v>611</v>
      </c>
      <c r="D1" s="148"/>
      <c r="E1" s="155" t="s">
        <v>612</v>
      </c>
      <c r="F1" s="155" t="s">
        <v>613</v>
      </c>
      <c r="G1" s="155" t="s">
        <v>614</v>
      </c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  <row r="2">
      <c r="A2" s="151">
        <v>100.0</v>
      </c>
      <c r="B2" s="148" t="s">
        <v>615</v>
      </c>
      <c r="C2" s="148" t="s">
        <v>616</v>
      </c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</row>
    <row r="3">
      <c r="A3" s="151">
        <v>101.0</v>
      </c>
      <c r="B3" s="148" t="s">
        <v>617</v>
      </c>
      <c r="C3" s="148" t="s">
        <v>618</v>
      </c>
      <c r="D3" s="148"/>
      <c r="E3" s="148"/>
      <c r="F3" s="148"/>
      <c r="G3" s="171" t="s">
        <v>619</v>
      </c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</row>
    <row r="4">
      <c r="A4" s="151">
        <v>102.0</v>
      </c>
      <c r="B4" s="148" t="s">
        <v>306</v>
      </c>
      <c r="C4" s="148" t="s">
        <v>620</v>
      </c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</row>
    <row r="5">
      <c r="A5" s="151">
        <v>103.0</v>
      </c>
      <c r="B5" s="148" t="s">
        <v>621</v>
      </c>
      <c r="C5" s="148" t="s">
        <v>622</v>
      </c>
      <c r="D5" s="148"/>
      <c r="E5" s="148" t="s">
        <v>623</v>
      </c>
      <c r="F5" s="148" t="s">
        <v>624</v>
      </c>
      <c r="G5" s="171" t="s">
        <v>625</v>
      </c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</row>
    <row r="6">
      <c r="A6" s="151">
        <v>104.0</v>
      </c>
      <c r="B6" s="148" t="s">
        <v>626</v>
      </c>
      <c r="C6" s="148" t="s">
        <v>627</v>
      </c>
      <c r="D6" s="148"/>
      <c r="E6" s="148" t="s">
        <v>628</v>
      </c>
      <c r="F6" s="148" t="s">
        <v>629</v>
      </c>
      <c r="G6" s="171" t="s">
        <v>630</v>
      </c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</row>
    <row r="7">
      <c r="A7" s="151">
        <v>105.0</v>
      </c>
      <c r="B7" s="148" t="s">
        <v>631</v>
      </c>
      <c r="C7" s="148" t="s">
        <v>632</v>
      </c>
      <c r="D7" s="148"/>
      <c r="E7" s="148" t="s">
        <v>633</v>
      </c>
      <c r="F7" s="148"/>
      <c r="G7" s="171" t="s">
        <v>634</v>
      </c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</row>
    <row r="8">
      <c r="A8" s="151">
        <v>106.0</v>
      </c>
      <c r="B8" s="148" t="s">
        <v>338</v>
      </c>
      <c r="C8" s="148" t="s">
        <v>635</v>
      </c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</row>
    <row r="9">
      <c r="A9" s="151">
        <v>107.0</v>
      </c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</row>
    <row r="10">
      <c r="A10" s="151">
        <v>108.0</v>
      </c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</row>
    <row r="11">
      <c r="A11" s="151">
        <v>109.0</v>
      </c>
      <c r="B11" s="148" t="s">
        <v>392</v>
      </c>
      <c r="C11" s="148" t="s">
        <v>636</v>
      </c>
      <c r="D11" s="148"/>
      <c r="E11" s="148" t="s">
        <v>637</v>
      </c>
      <c r="F11" s="148"/>
      <c r="G11" s="171" t="s">
        <v>638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</row>
    <row r="12">
      <c r="A12" s="151">
        <v>110.0</v>
      </c>
      <c r="B12" s="148" t="s">
        <v>62</v>
      </c>
      <c r="C12" s="148"/>
      <c r="D12" s="148"/>
      <c r="E12" s="148" t="s">
        <v>639</v>
      </c>
      <c r="F12" s="148" t="s">
        <v>640</v>
      </c>
      <c r="G12" s="171" t="s">
        <v>641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</row>
    <row r="13">
      <c r="A13" s="151">
        <v>111.0</v>
      </c>
      <c r="B13" s="148" t="s">
        <v>642</v>
      </c>
      <c r="C13" s="148" t="s">
        <v>643</v>
      </c>
      <c r="D13" s="148"/>
      <c r="E13" s="148"/>
      <c r="F13" s="148"/>
      <c r="G13" s="171" t="s">
        <v>644</v>
      </c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</row>
    <row r="14">
      <c r="A14" s="151">
        <v>112.0</v>
      </c>
      <c r="B14" s="148" t="s">
        <v>15</v>
      </c>
      <c r="C14" s="148"/>
      <c r="D14" s="148"/>
      <c r="E14" s="148" t="s">
        <v>645</v>
      </c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</row>
    <row r="15">
      <c r="A15" s="151">
        <v>113.0</v>
      </c>
      <c r="B15" s="148" t="s">
        <v>21</v>
      </c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</row>
    <row r="16">
      <c r="A16" s="151">
        <v>114.0</v>
      </c>
      <c r="B16" s="148" t="s">
        <v>27</v>
      </c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</row>
    <row r="17">
      <c r="A17" s="151">
        <v>215.0</v>
      </c>
      <c r="B17" s="148" t="s">
        <v>646</v>
      </c>
      <c r="C17" s="148"/>
      <c r="D17" s="148"/>
      <c r="E17" s="148" t="s">
        <v>647</v>
      </c>
      <c r="F17" s="148" t="s">
        <v>648</v>
      </c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>
      <c r="A18" s="151">
        <v>216.0</v>
      </c>
      <c r="B18" s="148" t="s">
        <v>22</v>
      </c>
      <c r="C18" s="148" t="s">
        <v>649</v>
      </c>
      <c r="D18" s="148"/>
      <c r="E18" s="148"/>
      <c r="F18" s="148"/>
      <c r="G18" s="171" t="s">
        <v>650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</row>
    <row r="19">
      <c r="A19" s="151">
        <v>217.0</v>
      </c>
      <c r="B19" s="148" t="s">
        <v>344</v>
      </c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</row>
    <row r="20">
      <c r="A20" s="151">
        <v>218.0</v>
      </c>
      <c r="B20" s="148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</row>
    <row r="21">
      <c r="A21" s="151">
        <v>219.0</v>
      </c>
      <c r="B21" s="148" t="s">
        <v>82</v>
      </c>
      <c r="C21" s="148" t="s">
        <v>651</v>
      </c>
      <c r="D21" s="148"/>
      <c r="E21" s="148" t="s">
        <v>652</v>
      </c>
      <c r="F21" s="148" t="s">
        <v>653</v>
      </c>
      <c r="G21" s="171" t="s">
        <v>654</v>
      </c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</row>
    <row r="22">
      <c r="A22" s="151">
        <v>220.0</v>
      </c>
      <c r="B22" s="148" t="s">
        <v>345</v>
      </c>
      <c r="C22" s="148" t="s">
        <v>655</v>
      </c>
      <c r="D22" s="148"/>
      <c r="E22" s="148" t="s">
        <v>656</v>
      </c>
      <c r="F22" s="148" t="s">
        <v>657</v>
      </c>
      <c r="G22" s="171" t="s">
        <v>658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</row>
    <row r="23">
      <c r="A23" s="151">
        <v>221.0</v>
      </c>
      <c r="B23" s="148" t="s">
        <v>659</v>
      </c>
      <c r="C23" s="148" t="s">
        <v>660</v>
      </c>
      <c r="D23" s="148"/>
      <c r="E23" s="148" t="s">
        <v>661</v>
      </c>
      <c r="F23" s="148" t="s">
        <v>662</v>
      </c>
      <c r="G23" s="171" t="s">
        <v>663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</row>
    <row r="24">
      <c r="A24" s="151">
        <v>222.0</v>
      </c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</row>
    <row r="25">
      <c r="A25" s="151">
        <v>223.0</v>
      </c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</row>
    <row r="26">
      <c r="A26" s="151">
        <v>224.0</v>
      </c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</row>
    <row r="27">
      <c r="A27" s="151">
        <v>225.0</v>
      </c>
      <c r="B27" s="148" t="s">
        <v>93</v>
      </c>
      <c r="C27" s="148" t="s">
        <v>664</v>
      </c>
      <c r="D27" s="148"/>
      <c r="E27" s="148"/>
      <c r="F27" s="148"/>
      <c r="G27" s="171" t="s">
        <v>665</v>
      </c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</row>
    <row r="28">
      <c r="A28" s="151">
        <v>226.0</v>
      </c>
      <c r="B28" s="148" t="s">
        <v>666</v>
      </c>
      <c r="C28" s="148" t="s">
        <v>667</v>
      </c>
      <c r="D28" s="148"/>
      <c r="E28" s="148" t="s">
        <v>668</v>
      </c>
      <c r="F28" s="148" t="s">
        <v>640</v>
      </c>
      <c r="G28" s="171" t="s">
        <v>669</v>
      </c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</row>
    <row r="29">
      <c r="A29" s="151">
        <v>227.0</v>
      </c>
      <c r="B29" s="148" t="s">
        <v>670</v>
      </c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</row>
    <row r="30">
      <c r="A30" s="151">
        <v>228.0</v>
      </c>
      <c r="B30" s="148" t="s">
        <v>671</v>
      </c>
      <c r="C30" s="148" t="s">
        <v>672</v>
      </c>
      <c r="D30" s="148"/>
      <c r="E30" s="148"/>
      <c r="F30" s="148"/>
      <c r="G30" s="171" t="s">
        <v>673</v>
      </c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</row>
    <row r="31">
      <c r="A31" s="151">
        <v>229.0</v>
      </c>
      <c r="B31" s="148" t="s">
        <v>674</v>
      </c>
      <c r="C31" s="171" t="s">
        <v>675</v>
      </c>
      <c r="D31" s="148"/>
      <c r="E31" s="171" t="s">
        <v>676</v>
      </c>
      <c r="F31" s="171" t="s">
        <v>624</v>
      </c>
      <c r="G31" s="171" t="s">
        <v>677</v>
      </c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</row>
    <row r="32">
      <c r="A32" s="151">
        <v>230.0</v>
      </c>
      <c r="B32" s="148" t="s">
        <v>678</v>
      </c>
      <c r="C32" s="148" t="s">
        <v>679</v>
      </c>
      <c r="D32" s="148"/>
      <c r="E32" s="171" t="s">
        <v>680</v>
      </c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</row>
    <row r="33">
      <c r="A33" s="148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</row>
    <row r="34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</row>
    <row r="35">
      <c r="A35" s="14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</row>
    <row r="36">
      <c r="A36" s="148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</row>
    <row r="37">
      <c r="A37" s="148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</row>
    <row r="38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</row>
    <row r="39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</row>
    <row r="40">
      <c r="A40" s="148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</row>
    <row r="41">
      <c r="A41" s="148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</row>
    <row r="42">
      <c r="A42" s="148"/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</row>
    <row r="43">
      <c r="A43" s="148"/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</row>
    <row r="44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</row>
    <row r="45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</row>
    <row r="46">
      <c r="A46" s="148"/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</row>
    <row r="47">
      <c r="A47" s="148"/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</row>
    <row r="48">
      <c r="A48" s="148"/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</row>
    <row r="49">
      <c r="A49" s="148"/>
      <c r="B49" s="148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</row>
    <row r="50">
      <c r="A50" s="148"/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</row>
    <row r="51">
      <c r="A51" s="148"/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</row>
    <row r="52">
      <c r="A52" s="148"/>
      <c r="B52" s="148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</row>
    <row r="53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</row>
    <row r="54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</row>
    <row r="55">
      <c r="A55" s="148"/>
      <c r="B55" s="148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</row>
    <row r="56">
      <c r="A56" s="148"/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</row>
    <row r="57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</row>
    <row r="58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</row>
    <row r="59">
      <c r="A59" s="148"/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</row>
    <row r="60">
      <c r="A60" s="148"/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</row>
    <row r="61">
      <c r="A61" s="148"/>
      <c r="B61" s="148"/>
      <c r="C61" s="148"/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</row>
    <row r="62">
      <c r="A62" s="148"/>
      <c r="B62" s="148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</row>
    <row r="63">
      <c r="A63" s="148"/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</row>
    <row r="64">
      <c r="A64" s="148"/>
      <c r="B64" s="148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</row>
    <row r="65">
      <c r="A65" s="148"/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</row>
    <row r="66">
      <c r="A66" s="148"/>
      <c r="B66" s="148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</row>
    <row r="67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</row>
    <row r="68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</row>
    <row r="69">
      <c r="A69" s="148"/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</row>
    <row r="70">
      <c r="A70" s="148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</row>
    <row r="71">
      <c r="A71" s="148"/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</row>
    <row r="72">
      <c r="A72" s="148"/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</row>
    <row r="73">
      <c r="A73" s="148"/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</row>
    <row r="74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</row>
    <row r="75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</row>
    <row r="76">
      <c r="A76" s="148"/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</row>
    <row r="77">
      <c r="A77" s="148"/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</row>
    <row r="78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</row>
    <row r="79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</row>
    <row r="80">
      <c r="A80" s="148"/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</row>
    <row r="81">
      <c r="A81" s="148"/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</row>
    <row r="82">
      <c r="A82" s="148"/>
      <c r="B82" s="148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</row>
    <row r="83">
      <c r="A83" s="148"/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</row>
    <row r="84">
      <c r="A84" s="148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</row>
    <row r="85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</row>
    <row r="86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</row>
    <row r="87">
      <c r="A87" s="148"/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</row>
    <row r="88">
      <c r="A88" s="148"/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</row>
    <row r="89">
      <c r="A89" s="148"/>
      <c r="B89" s="148"/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</row>
    <row r="90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</row>
    <row r="91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</row>
    <row r="92">
      <c r="A92" s="148"/>
      <c r="B92" s="148"/>
      <c r="C92" s="148"/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</row>
    <row r="93">
      <c r="A93" s="148"/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</row>
    <row r="94">
      <c r="A94" s="148"/>
      <c r="B94" s="148"/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</row>
    <row r="95">
      <c r="A95" s="148"/>
      <c r="B95" s="148"/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</row>
    <row r="96">
      <c r="A96" s="148"/>
      <c r="B96" s="148"/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</row>
    <row r="97">
      <c r="A97" s="148"/>
      <c r="B97" s="148"/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</row>
    <row r="98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</row>
    <row r="99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</row>
    <row r="100">
      <c r="A100" s="148"/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</row>
    <row r="101">
      <c r="A101" s="148"/>
      <c r="B101" s="148"/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</row>
    <row r="102">
      <c r="A102" s="148"/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</row>
    <row r="103">
      <c r="A103" s="148"/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</row>
    <row r="104">
      <c r="A104" s="148"/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</row>
    <row r="105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</row>
    <row r="106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</row>
    <row r="107">
      <c r="A107" s="148"/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</row>
    <row r="108">
      <c r="A108" s="148"/>
      <c r="B108" s="148"/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</row>
    <row r="109">
      <c r="A109" s="148"/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</row>
    <row r="110">
      <c r="A110" s="148"/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</row>
    <row r="111">
      <c r="A111" s="148"/>
      <c r="B111" s="148"/>
      <c r="C111" s="148"/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</row>
    <row r="112">
      <c r="A112" s="148"/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</row>
    <row r="113">
      <c r="A113" s="148"/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</row>
    <row r="114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</row>
    <row r="115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</row>
    <row r="116">
      <c r="A116" s="148"/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</row>
    <row r="117">
      <c r="A117" s="148"/>
      <c r="B117" s="148"/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</row>
    <row r="118">
      <c r="A118" s="148"/>
      <c r="B118" s="148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</row>
    <row r="119">
      <c r="A119" s="148"/>
      <c r="B119" s="148"/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</row>
    <row r="120">
      <c r="A120" s="148"/>
      <c r="B120" s="148"/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</row>
    <row r="121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</row>
    <row r="122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</row>
    <row r="123">
      <c r="A123" s="148"/>
      <c r="B123" s="148"/>
      <c r="C123" s="148"/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</row>
    <row r="124">
      <c r="A124" s="148"/>
      <c r="B124" s="148"/>
      <c r="C124" s="148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</row>
    <row r="125">
      <c r="A125" s="148"/>
      <c r="B125" s="148"/>
      <c r="C125" s="148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</row>
    <row r="126">
      <c r="A126" s="148"/>
      <c r="B126" s="148"/>
      <c r="C126" s="148"/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</row>
    <row r="127">
      <c r="A127" s="148"/>
      <c r="B127" s="148"/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</row>
    <row r="128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</row>
    <row r="129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</row>
    <row r="130">
      <c r="A130" s="148"/>
      <c r="B130" s="148"/>
      <c r="C130" s="148"/>
      <c r="D130" s="148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</row>
    <row r="131">
      <c r="A131" s="148"/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</row>
    <row r="132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</row>
    <row r="133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</row>
    <row r="134">
      <c r="A134" s="148"/>
      <c r="B134" s="148"/>
      <c r="C134" s="148"/>
      <c r="D134" s="148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</row>
    <row r="135">
      <c r="A135" s="148"/>
      <c r="B135" s="148"/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</row>
    <row r="136">
      <c r="A136" s="148"/>
      <c r="B136" s="148"/>
      <c r="C136" s="148"/>
      <c r="D136" s="148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</row>
    <row r="137">
      <c r="A137" s="148"/>
      <c r="B137" s="148"/>
      <c r="C137" s="148"/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</row>
    <row r="138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</row>
    <row r="139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</row>
    <row r="140">
      <c r="A140" s="148"/>
      <c r="B140" s="148"/>
      <c r="C140" s="148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</row>
    <row r="141">
      <c r="A141" s="148"/>
      <c r="B141" s="148"/>
      <c r="C141" s="148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</row>
    <row r="142">
      <c r="A142" s="148"/>
      <c r="B142" s="148"/>
      <c r="C142" s="148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</row>
    <row r="143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</row>
    <row r="144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</row>
    <row r="145">
      <c r="A145" s="148"/>
      <c r="B145" s="148"/>
      <c r="C145" s="148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</row>
    <row r="146">
      <c r="A146" s="148"/>
      <c r="B146" s="148"/>
      <c r="C146" s="148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</row>
    <row r="147">
      <c r="A147" s="148"/>
      <c r="B147" s="148"/>
      <c r="C147" s="148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</row>
    <row r="148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</row>
    <row r="149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</row>
    <row r="150">
      <c r="A150" s="148"/>
      <c r="B150" s="148"/>
      <c r="C150" s="148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</row>
    <row r="151">
      <c r="A151" s="148"/>
      <c r="B151" s="148"/>
      <c r="C151" s="148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</row>
    <row r="152">
      <c r="A152" s="148"/>
      <c r="B152" s="148"/>
      <c r="C152" s="148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</row>
    <row r="153">
      <c r="A153" s="148"/>
      <c r="B153" s="148"/>
      <c r="C153" s="148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</row>
    <row r="154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</row>
    <row r="155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</row>
    <row r="156">
      <c r="A156" s="148"/>
      <c r="B156" s="148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</row>
    <row r="157">
      <c r="A157" s="148"/>
      <c r="B157" s="148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</row>
    <row r="158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</row>
    <row r="159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</row>
    <row r="160">
      <c r="A160" s="148"/>
      <c r="B160" s="148"/>
      <c r="C160" s="148"/>
      <c r="D160" s="148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</row>
    <row r="161">
      <c r="A161" s="148"/>
      <c r="B161" s="148"/>
      <c r="C161" s="148"/>
      <c r="D161" s="148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</row>
    <row r="162">
      <c r="A162" s="148"/>
      <c r="B162" s="148"/>
      <c r="C162" s="148"/>
      <c r="D162" s="148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</row>
    <row r="163">
      <c r="A163" s="148"/>
      <c r="B163" s="148"/>
      <c r="C163" s="148"/>
      <c r="D163" s="148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</row>
    <row r="164">
      <c r="A164" s="148"/>
      <c r="B164" s="148"/>
      <c r="C164" s="148"/>
      <c r="D164" s="148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</row>
    <row r="165">
      <c r="A165" s="148"/>
      <c r="B165" s="148"/>
      <c r="C165" s="148"/>
      <c r="D165" s="148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</row>
    <row r="166">
      <c r="A166" s="148"/>
      <c r="B166" s="148"/>
      <c r="C166" s="148"/>
      <c r="D166" s="148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</row>
    <row r="167">
      <c r="A167" s="148"/>
      <c r="B167" s="148"/>
      <c r="C167" s="148"/>
      <c r="D167" s="148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</row>
    <row r="168">
      <c r="A168" s="148"/>
      <c r="B168" s="148"/>
      <c r="C168" s="148"/>
      <c r="D168" s="148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</row>
    <row r="169">
      <c r="A169" s="148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</row>
    <row r="170">
      <c r="A170" s="148"/>
      <c r="B170" s="148"/>
      <c r="C170" s="148"/>
      <c r="D170" s="148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</row>
    <row r="171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</row>
    <row r="172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</row>
    <row r="173">
      <c r="A173" s="148"/>
      <c r="B173" s="148"/>
      <c r="C173" s="148"/>
      <c r="D173" s="148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</row>
    <row r="174">
      <c r="A174" s="148"/>
      <c r="B174" s="148"/>
      <c r="C174" s="148"/>
      <c r="D174" s="148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</row>
    <row r="175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</row>
    <row r="176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</row>
    <row r="177">
      <c r="A177" s="148"/>
      <c r="B177" s="148"/>
      <c r="C177" s="148"/>
      <c r="D177" s="148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</row>
    <row r="178">
      <c r="A178" s="148"/>
      <c r="B178" s="148"/>
      <c r="C178" s="148"/>
      <c r="D178" s="148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</row>
    <row r="179">
      <c r="A179" s="148"/>
      <c r="B179" s="148"/>
      <c r="C179" s="148"/>
      <c r="D179" s="148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</row>
    <row r="180">
      <c r="A180" s="148"/>
      <c r="B180" s="148"/>
      <c r="C180" s="148"/>
      <c r="D180" s="148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</row>
    <row r="181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</row>
    <row r="182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</row>
    <row r="183">
      <c r="A183" s="148"/>
      <c r="B183" s="148"/>
      <c r="C183" s="148"/>
      <c r="D183" s="148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</row>
    <row r="184">
      <c r="A184" s="148"/>
      <c r="B184" s="148"/>
      <c r="C184" s="148"/>
      <c r="D184" s="148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</row>
    <row r="185">
      <c r="A185" s="148"/>
      <c r="B185" s="148"/>
      <c r="C185" s="148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</row>
    <row r="186">
      <c r="A186" s="148"/>
      <c r="B186" s="148"/>
      <c r="C186" s="148"/>
      <c r="D186" s="148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</row>
    <row r="187">
      <c r="A187" s="148"/>
      <c r="B187" s="148"/>
      <c r="C187" s="148"/>
      <c r="D187" s="148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</row>
    <row r="188">
      <c r="A188" s="148"/>
      <c r="B188" s="148"/>
      <c r="C188" s="148"/>
      <c r="D188" s="148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</row>
    <row r="189">
      <c r="A189" s="148"/>
      <c r="B189" s="148"/>
      <c r="C189" s="148"/>
      <c r="D189" s="148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</row>
    <row r="190">
      <c r="A190" s="148"/>
      <c r="B190" s="148"/>
      <c r="C190" s="148"/>
      <c r="D190" s="148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</row>
    <row r="191">
      <c r="A191" s="148"/>
      <c r="B191" s="148"/>
      <c r="C191" s="148"/>
      <c r="D191" s="148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</row>
    <row r="192">
      <c r="A192" s="148"/>
      <c r="B192" s="148"/>
      <c r="C192" s="148"/>
      <c r="D192" s="148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</row>
    <row r="193">
      <c r="A193" s="148"/>
      <c r="B193" s="148"/>
      <c r="C193" s="148"/>
      <c r="D193" s="148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</row>
    <row r="194">
      <c r="A194" s="148"/>
      <c r="B194" s="148"/>
      <c r="C194" s="148"/>
      <c r="D194" s="148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</row>
    <row r="195">
      <c r="A195" s="148"/>
      <c r="B195" s="148"/>
      <c r="C195" s="148"/>
      <c r="D195" s="148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</row>
    <row r="196">
      <c r="A196" s="148"/>
      <c r="B196" s="148"/>
      <c r="C196" s="148"/>
      <c r="D196" s="148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</row>
    <row r="197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</row>
    <row r="198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</row>
    <row r="199">
      <c r="A199" s="148"/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</row>
    <row r="200">
      <c r="A200" s="148"/>
      <c r="B200" s="148"/>
      <c r="C200" s="148"/>
      <c r="D200" s="148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</row>
    <row r="201">
      <c r="A201" s="148"/>
      <c r="B201" s="148"/>
      <c r="C201" s="148"/>
      <c r="D201" s="148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</row>
    <row r="202">
      <c r="A202" s="148"/>
      <c r="B202" s="148"/>
      <c r="C202" s="148"/>
      <c r="D202" s="148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</row>
    <row r="203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</row>
    <row r="204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</row>
    <row r="205">
      <c r="A205" s="148"/>
      <c r="B205" s="148"/>
      <c r="C205" s="148"/>
      <c r="D205" s="148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</row>
    <row r="206">
      <c r="A206" s="148"/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</row>
    <row r="207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</row>
    <row r="208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</row>
    <row r="209">
      <c r="A209" s="148"/>
      <c r="B209" s="148"/>
      <c r="C209" s="148"/>
      <c r="D209" s="148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</row>
    <row r="210">
      <c r="A210" s="148"/>
      <c r="B210" s="148"/>
      <c r="C210" s="148"/>
      <c r="D210" s="148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</row>
    <row r="211">
      <c r="A211" s="148"/>
      <c r="B211" s="148"/>
      <c r="C211" s="148"/>
      <c r="D211" s="148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</row>
    <row r="212">
      <c r="A212" s="148"/>
      <c r="B212" s="148"/>
      <c r="C212" s="148"/>
      <c r="D212" s="148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</row>
    <row r="213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</row>
    <row r="214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</row>
    <row r="215">
      <c r="A215" s="148"/>
      <c r="B215" s="148"/>
      <c r="C215" s="148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</row>
    <row r="216">
      <c r="A216" s="148"/>
      <c r="B216" s="148"/>
      <c r="C216" s="148"/>
      <c r="D216" s="148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</row>
    <row r="217">
      <c r="A217" s="148"/>
      <c r="B217" s="148"/>
      <c r="C217" s="148"/>
      <c r="D217" s="148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</row>
    <row r="218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</row>
    <row r="219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</row>
    <row r="220">
      <c r="A220" s="148"/>
      <c r="B220" s="148"/>
      <c r="C220" s="148"/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</row>
    <row r="221">
      <c r="A221" s="148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</row>
    <row r="222">
      <c r="A222" s="148"/>
      <c r="B222" s="148"/>
      <c r="C222" s="148"/>
      <c r="D222" s="148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</row>
    <row r="223">
      <c r="A223" s="148"/>
      <c r="B223" s="148"/>
      <c r="C223" s="148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</row>
    <row r="224">
      <c r="A224" s="148"/>
      <c r="B224" s="148"/>
      <c r="C224" s="148"/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</row>
    <row r="225">
      <c r="A225" s="148"/>
      <c r="B225" s="148"/>
      <c r="C225" s="148"/>
      <c r="D225" s="148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</row>
    <row r="226">
      <c r="A226" s="148"/>
      <c r="B226" s="148"/>
      <c r="C226" s="148"/>
      <c r="D226" s="148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</row>
    <row r="227">
      <c r="A227" s="148"/>
      <c r="B227" s="148"/>
      <c r="C227" s="148"/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</row>
    <row r="228">
      <c r="A228" s="148"/>
      <c r="B228" s="148"/>
      <c r="C228" s="148"/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</row>
    <row r="229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</row>
    <row r="230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</row>
    <row r="231">
      <c r="A231" s="148"/>
      <c r="B231" s="148"/>
      <c r="C231" s="148"/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</row>
    <row r="232">
      <c r="A232" s="148"/>
      <c r="B232" s="148"/>
      <c r="C232" s="148"/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</row>
    <row r="233">
      <c r="A233" s="148"/>
      <c r="B233" s="148"/>
      <c r="C233" s="148"/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</row>
    <row r="234">
      <c r="A234" s="148"/>
      <c r="B234" s="148"/>
      <c r="C234" s="148"/>
      <c r="D234" s="148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</row>
    <row r="235">
      <c r="A235" s="148"/>
      <c r="B235" s="148"/>
      <c r="C235" s="148"/>
      <c r="D235" s="148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</row>
    <row r="236">
      <c r="A236" s="148"/>
      <c r="B236" s="148"/>
      <c r="C236" s="148"/>
      <c r="D236" s="148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</row>
    <row r="237">
      <c r="A237" s="148"/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</row>
    <row r="238">
      <c r="A238" s="148"/>
      <c r="B238" s="148"/>
      <c r="C238" s="148"/>
      <c r="D238" s="148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</row>
    <row r="239">
      <c r="A239" s="148"/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</row>
    <row r="240">
      <c r="A240" s="148"/>
      <c r="B240" s="148"/>
      <c r="C240" s="148"/>
      <c r="D240" s="148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</row>
    <row r="241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</row>
    <row r="242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</row>
    <row r="243">
      <c r="A243" s="148"/>
      <c r="B243" s="148"/>
      <c r="C243" s="148"/>
      <c r="D243" s="148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</row>
    <row r="244">
      <c r="A244" s="148"/>
      <c r="B244" s="148"/>
      <c r="C244" s="148"/>
      <c r="D244" s="148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</row>
    <row r="245">
      <c r="A245" s="148"/>
      <c r="B245" s="148"/>
      <c r="C245" s="148"/>
      <c r="D245" s="148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</row>
    <row r="246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</row>
    <row r="247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</row>
    <row r="248">
      <c r="A248" s="148"/>
      <c r="B248" s="148"/>
      <c r="C248" s="148"/>
      <c r="D248" s="148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</row>
    <row r="249">
      <c r="A249" s="148"/>
      <c r="B249" s="148"/>
      <c r="C249" s="148"/>
      <c r="D249" s="148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</row>
    <row r="250">
      <c r="A250" s="148"/>
      <c r="B250" s="148"/>
      <c r="C250" s="148"/>
      <c r="D250" s="148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</row>
    <row r="251">
      <c r="A251" s="148"/>
      <c r="B251" s="148"/>
      <c r="C251" s="148"/>
      <c r="D251" s="148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</row>
    <row r="252">
      <c r="A252" s="148"/>
      <c r="B252" s="148"/>
      <c r="C252" s="148"/>
      <c r="D252" s="148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</row>
    <row r="253">
      <c r="A253" s="148"/>
      <c r="B253" s="148"/>
      <c r="C253" s="148"/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</row>
    <row r="254">
      <c r="A254" s="148"/>
      <c r="B254" s="148"/>
      <c r="C254" s="148"/>
      <c r="D254" s="148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</row>
    <row r="255">
      <c r="A255" s="148"/>
      <c r="B255" s="148"/>
      <c r="C255" s="148"/>
      <c r="D255" s="148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</row>
    <row r="256">
      <c r="A256" s="148"/>
      <c r="B256" s="148"/>
      <c r="C256" s="148"/>
      <c r="D256" s="148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</row>
    <row r="257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</row>
    <row r="258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</row>
    <row r="259">
      <c r="A259" s="148"/>
      <c r="B259" s="148"/>
      <c r="C259" s="148"/>
      <c r="D259" s="148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</row>
    <row r="260">
      <c r="A260" s="148"/>
      <c r="B260" s="148"/>
      <c r="C260" s="148"/>
      <c r="D260" s="148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</row>
    <row r="261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</row>
    <row r="262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</row>
    <row r="263">
      <c r="A263" s="148"/>
      <c r="B263" s="148"/>
      <c r="C263" s="148"/>
      <c r="D263" s="148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</row>
    <row r="264">
      <c r="A264" s="148"/>
      <c r="B264" s="148"/>
      <c r="C264" s="148"/>
      <c r="D264" s="148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</row>
    <row r="265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</row>
    <row r="266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</row>
    <row r="267">
      <c r="A267" s="148"/>
      <c r="B267" s="148"/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</row>
    <row r="268">
      <c r="A268" s="148"/>
      <c r="B268" s="148"/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</row>
    <row r="269">
      <c r="A269" s="148"/>
      <c r="B269" s="148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</row>
    <row r="270">
      <c r="A270" s="148"/>
      <c r="B270" s="148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</row>
    <row r="271">
      <c r="A271" s="148"/>
      <c r="B271" s="148"/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</row>
    <row r="272">
      <c r="A272" s="148"/>
      <c r="B272" s="148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</row>
    <row r="273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</row>
    <row r="274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</row>
    <row r="275">
      <c r="A275" s="148"/>
      <c r="B275" s="148"/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</row>
    <row r="276">
      <c r="A276" s="148"/>
      <c r="B276" s="148"/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</row>
    <row r="277">
      <c r="A277" s="148"/>
      <c r="B277" s="148"/>
      <c r="C277" s="148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</row>
    <row r="278">
      <c r="A278" s="148"/>
      <c r="B278" s="148"/>
      <c r="C278" s="148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</row>
    <row r="279">
      <c r="A279" s="148"/>
      <c r="B279" s="148"/>
      <c r="C279" s="148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</row>
    <row r="280">
      <c r="A280" s="148"/>
      <c r="B280" s="148"/>
      <c r="C280" s="148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</row>
    <row r="281">
      <c r="A281" s="148"/>
      <c r="B281" s="148"/>
      <c r="C281" s="148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</row>
    <row r="28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</row>
    <row r="283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</row>
    <row r="284">
      <c r="A284" s="148"/>
      <c r="B284" s="148"/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</row>
    <row r="285">
      <c r="A285" s="148"/>
      <c r="B285" s="148"/>
      <c r="C285" s="148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</row>
    <row r="286">
      <c r="A286" s="148"/>
      <c r="B286" s="148"/>
      <c r="C286" s="148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</row>
    <row r="287">
      <c r="A287" s="148"/>
      <c r="B287" s="148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</row>
    <row r="288">
      <c r="A288" s="148"/>
      <c r="B288" s="148"/>
      <c r="C288" s="148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</row>
    <row r="289">
      <c r="A289" s="148"/>
      <c r="B289" s="148"/>
      <c r="C289" s="148"/>
      <c r="D289" s="148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</row>
    <row r="290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</row>
    <row r="291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</row>
    <row r="292">
      <c r="A292" s="148"/>
      <c r="B292" s="148"/>
      <c r="C292" s="148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</row>
    <row r="293">
      <c r="A293" s="148"/>
      <c r="B293" s="148"/>
      <c r="C293" s="148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</row>
    <row r="294">
      <c r="A294" s="148"/>
      <c r="B294" s="148"/>
      <c r="C294" s="148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</row>
    <row r="295">
      <c r="A295" s="148"/>
      <c r="B295" s="148"/>
      <c r="C295" s="148"/>
      <c r="D295" s="148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</row>
    <row r="296">
      <c r="A296" s="148"/>
      <c r="B296" s="148"/>
      <c r="C296" s="148"/>
      <c r="D296" s="148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</row>
    <row r="297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</row>
    <row r="298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</row>
    <row r="299">
      <c r="A299" s="148"/>
      <c r="B299" s="148"/>
      <c r="C299" s="148"/>
      <c r="D299" s="148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</row>
    <row r="300">
      <c r="A300" s="148"/>
      <c r="B300" s="148"/>
      <c r="C300" s="148"/>
      <c r="D300" s="148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</row>
    <row r="301">
      <c r="A301" s="148"/>
      <c r="B301" s="148"/>
      <c r="C301" s="148"/>
      <c r="D301" s="148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</row>
    <row r="302">
      <c r="A302" s="148"/>
      <c r="B302" s="148"/>
      <c r="C302" s="148"/>
      <c r="D302" s="148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</row>
    <row r="303">
      <c r="A303" s="148"/>
      <c r="B303" s="148"/>
      <c r="C303" s="148"/>
      <c r="D303" s="148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</row>
    <row r="304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</row>
    <row r="305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</row>
    <row r="306">
      <c r="A306" s="148"/>
      <c r="B306" s="148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</row>
    <row r="307">
      <c r="A307" s="148"/>
      <c r="B307" s="148"/>
      <c r="C307" s="148"/>
      <c r="D307" s="148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</row>
    <row r="308">
      <c r="A308" s="148"/>
      <c r="B308" s="148"/>
      <c r="C308" s="148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</row>
    <row r="309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</row>
    <row r="310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</row>
    <row r="311">
      <c r="A311" s="148"/>
      <c r="B311" s="148"/>
      <c r="C311" s="148"/>
      <c r="D311" s="148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</row>
    <row r="312">
      <c r="A312" s="148"/>
      <c r="B312" s="148"/>
      <c r="C312" s="148"/>
      <c r="D312" s="148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</row>
    <row r="313">
      <c r="A313" s="148"/>
      <c r="B313" s="148"/>
      <c r="C313" s="148"/>
      <c r="D313" s="148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</row>
    <row r="314">
      <c r="A314" s="148"/>
      <c r="B314" s="148"/>
      <c r="C314" s="148"/>
      <c r="D314" s="148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</row>
    <row r="315">
      <c r="A315" s="148"/>
      <c r="B315" s="148"/>
      <c r="C315" s="148"/>
      <c r="D315" s="148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</row>
    <row r="316">
      <c r="A316" s="148"/>
      <c r="B316" s="148"/>
      <c r="C316" s="148"/>
      <c r="D316" s="148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</row>
    <row r="317">
      <c r="A317" s="148"/>
      <c r="B317" s="148"/>
      <c r="C317" s="148"/>
      <c r="D317" s="148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</row>
    <row r="318">
      <c r="A318" s="148"/>
      <c r="B318" s="148"/>
      <c r="C318" s="148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</row>
    <row r="319">
      <c r="A319" s="148"/>
      <c r="B319" s="148"/>
      <c r="C319" s="148"/>
      <c r="D319" s="148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</row>
    <row r="320">
      <c r="A320" s="148"/>
      <c r="B320" s="148"/>
      <c r="C320" s="148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</row>
    <row r="321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</row>
    <row r="32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</row>
    <row r="323">
      <c r="A323" s="148"/>
      <c r="B323" s="148"/>
      <c r="C323" s="148"/>
      <c r="D323" s="148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</row>
    <row r="324">
      <c r="A324" s="148"/>
      <c r="B324" s="148"/>
      <c r="C324" s="148"/>
      <c r="D324" s="148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</row>
    <row r="325">
      <c r="A325" s="148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</row>
    <row r="326">
      <c r="A326" s="148"/>
      <c r="B326" s="148"/>
      <c r="C326" s="148"/>
      <c r="D326" s="148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</row>
    <row r="327">
      <c r="A327" s="148"/>
      <c r="B327" s="148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</row>
    <row r="328">
      <c r="A328" s="148"/>
      <c r="B328" s="148"/>
      <c r="C328" s="148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</row>
    <row r="329">
      <c r="A329" s="148"/>
      <c r="B329" s="148"/>
      <c r="C329" s="148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</row>
    <row r="330">
      <c r="A330" s="148"/>
      <c r="B330" s="148"/>
      <c r="C330" s="148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</row>
    <row r="331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</row>
    <row r="33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</row>
    <row r="333">
      <c r="A333" s="148"/>
      <c r="B333" s="148"/>
      <c r="C333" s="148"/>
      <c r="D333" s="148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</row>
    <row r="334">
      <c r="A334" s="148"/>
      <c r="B334" s="148"/>
      <c r="C334" s="148"/>
      <c r="D334" s="148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</row>
    <row r="335">
      <c r="A335" s="148"/>
      <c r="B335" s="148"/>
      <c r="C335" s="148"/>
      <c r="D335" s="148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</row>
    <row r="336">
      <c r="A336" s="148"/>
      <c r="B336" s="148"/>
      <c r="C336" s="148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</row>
    <row r="337">
      <c r="A337" s="148"/>
      <c r="B337" s="148"/>
      <c r="C337" s="148"/>
      <c r="D337" s="148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</row>
    <row r="338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</row>
    <row r="339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</row>
    <row r="340">
      <c r="A340" s="148"/>
      <c r="B340" s="148"/>
      <c r="C340" s="148"/>
      <c r="D340" s="148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</row>
    <row r="341">
      <c r="A341" s="148"/>
      <c r="B341" s="148"/>
      <c r="C341" s="148"/>
      <c r="D341" s="148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</row>
    <row r="342">
      <c r="A342" s="148"/>
      <c r="B342" s="148"/>
      <c r="C342" s="148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</row>
    <row r="343">
      <c r="A343" s="148"/>
      <c r="B343" s="148"/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</row>
    <row r="344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</row>
    <row r="345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</row>
    <row r="346">
      <c r="A346" s="148"/>
      <c r="B346" s="148"/>
      <c r="C346" s="148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</row>
    <row r="347">
      <c r="A347" s="148"/>
      <c r="B347" s="148"/>
      <c r="C347" s="148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</row>
    <row r="348">
      <c r="A348" s="148"/>
      <c r="B348" s="148"/>
      <c r="C348" s="148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</row>
    <row r="349">
      <c r="A349" s="148"/>
      <c r="B349" s="148"/>
      <c r="C349" s="148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</row>
    <row r="350">
      <c r="A350" s="148"/>
      <c r="B350" s="148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</row>
    <row r="351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</row>
    <row r="35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</row>
    <row r="353">
      <c r="A353" s="148"/>
      <c r="B353" s="148"/>
      <c r="C353" s="148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</row>
    <row r="354">
      <c r="A354" s="148"/>
      <c r="B354" s="148"/>
      <c r="C354" s="148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</row>
    <row r="355">
      <c r="A355" s="148"/>
      <c r="B355" s="148"/>
      <c r="C355" s="148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</row>
    <row r="356">
      <c r="A356" s="148"/>
      <c r="B356" s="148"/>
      <c r="C356" s="148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</row>
    <row r="357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</row>
    <row r="358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</row>
    <row r="359">
      <c r="A359" s="148"/>
      <c r="B359" s="148"/>
      <c r="C359" s="148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</row>
    <row r="360">
      <c r="A360" s="148"/>
      <c r="B360" s="148"/>
      <c r="C360" s="148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</row>
    <row r="361">
      <c r="A361" s="148"/>
      <c r="B361" s="148"/>
      <c r="C361" s="148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</row>
    <row r="362">
      <c r="A362" s="148"/>
      <c r="B362" s="148"/>
      <c r="C362" s="148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</row>
    <row r="363">
      <c r="A363" s="148"/>
      <c r="B363" s="148"/>
      <c r="C363" s="148"/>
      <c r="D363" s="148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</row>
    <row r="364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</row>
    <row r="365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</row>
    <row r="366">
      <c r="A366" s="148"/>
      <c r="B366" s="148"/>
      <c r="C366" s="148"/>
      <c r="D366" s="148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</row>
    <row r="367">
      <c r="A367" s="148"/>
      <c r="B367" s="148"/>
      <c r="C367" s="148"/>
      <c r="D367" s="148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</row>
    <row r="368">
      <c r="A368" s="148"/>
      <c r="B368" s="148"/>
      <c r="C368" s="148"/>
      <c r="D368" s="148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</row>
    <row r="369">
      <c r="A369" s="148"/>
      <c r="B369" s="148"/>
      <c r="C369" s="148"/>
      <c r="D369" s="148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</row>
    <row r="370">
      <c r="A370" s="148"/>
      <c r="B370" s="148"/>
      <c r="C370" s="148"/>
      <c r="D370" s="148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</row>
    <row r="371">
      <c r="A371" s="148"/>
      <c r="B371" s="148"/>
      <c r="C371" s="148"/>
      <c r="D371" s="148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</row>
    <row r="372">
      <c r="A372" s="148"/>
      <c r="B372" s="148"/>
      <c r="C372" s="148"/>
      <c r="D372" s="148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</row>
    <row r="373">
      <c r="A373" s="148"/>
      <c r="B373" s="148"/>
      <c r="C373" s="148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</row>
    <row r="374">
      <c r="A374" s="148"/>
      <c r="B374" s="148"/>
      <c r="C374" s="148"/>
      <c r="D374" s="148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</row>
    <row r="375">
      <c r="A375" s="148"/>
      <c r="B375" s="148"/>
      <c r="C375" s="148"/>
      <c r="D375" s="148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</row>
    <row r="376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</row>
    <row r="377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</row>
    <row r="378">
      <c r="A378" s="148"/>
      <c r="B378" s="148"/>
      <c r="C378" s="148"/>
      <c r="D378" s="148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</row>
    <row r="379">
      <c r="A379" s="148"/>
      <c r="B379" s="148"/>
      <c r="C379" s="148"/>
      <c r="D379" s="148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</row>
    <row r="380">
      <c r="A380" s="148"/>
      <c r="B380" s="148"/>
      <c r="C380" s="148"/>
      <c r="D380" s="148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</row>
    <row r="381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</row>
    <row r="38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</row>
    <row r="383">
      <c r="A383" s="148"/>
      <c r="B383" s="148"/>
      <c r="C383" s="148"/>
      <c r="D383" s="148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</row>
    <row r="384">
      <c r="A384" s="148"/>
      <c r="B384" s="148"/>
      <c r="C384" s="148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</row>
    <row r="385">
      <c r="A385" s="148"/>
      <c r="B385" s="148"/>
      <c r="C385" s="148"/>
      <c r="D385" s="148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</row>
    <row r="386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</row>
    <row r="387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</row>
    <row r="388">
      <c r="A388" s="148"/>
      <c r="B388" s="148"/>
      <c r="C388" s="148"/>
      <c r="D388" s="148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</row>
    <row r="389">
      <c r="A389" s="148"/>
      <c r="B389" s="148"/>
      <c r="C389" s="148"/>
      <c r="D389" s="148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</row>
    <row r="390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</row>
    <row r="391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</row>
    <row r="392">
      <c r="A392" s="148"/>
      <c r="B392" s="148"/>
      <c r="C392" s="148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</row>
    <row r="393">
      <c r="A393" s="148"/>
      <c r="B393" s="148"/>
      <c r="C393" s="148"/>
      <c r="D393" s="148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</row>
    <row r="394">
      <c r="A394" s="148"/>
      <c r="B394" s="148"/>
      <c r="C394" s="148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</row>
    <row r="395">
      <c r="A395" s="148"/>
      <c r="B395" s="148"/>
      <c r="C395" s="148"/>
      <c r="D395" s="148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</row>
    <row r="396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</row>
    <row r="397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</row>
    <row r="398">
      <c r="A398" s="148"/>
      <c r="B398" s="148"/>
      <c r="C398" s="148"/>
      <c r="D398" s="148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</row>
    <row r="399">
      <c r="A399" s="148"/>
      <c r="B399" s="148"/>
      <c r="C399" s="148"/>
      <c r="D399" s="148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</row>
    <row r="400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</row>
    <row r="401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</row>
    <row r="402">
      <c r="A402" s="148"/>
      <c r="B402" s="148"/>
      <c r="C402" s="148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</row>
    <row r="403">
      <c r="A403" s="148"/>
      <c r="B403" s="148"/>
      <c r="C403" s="148"/>
      <c r="D403" s="148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</row>
    <row r="404">
      <c r="A404" s="148"/>
      <c r="B404" s="148"/>
      <c r="C404" s="148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</row>
    <row r="405">
      <c r="A405" s="148"/>
      <c r="B405" s="148"/>
      <c r="C405" s="148"/>
      <c r="D405" s="148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</row>
    <row r="406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</row>
    <row r="407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</row>
    <row r="408">
      <c r="A408" s="148"/>
      <c r="B408" s="148"/>
      <c r="C408" s="148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</row>
    <row r="409">
      <c r="A409" s="148"/>
      <c r="B409" s="148"/>
      <c r="C409" s="148"/>
      <c r="D409" s="148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</row>
    <row r="410">
      <c r="A410" s="148"/>
      <c r="B410" s="148"/>
      <c r="C410" s="148"/>
      <c r="D410" s="148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</row>
    <row r="411">
      <c r="A411" s="148"/>
      <c r="B411" s="148"/>
      <c r="C411" s="148"/>
      <c r="D411" s="148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</row>
    <row r="412">
      <c r="A412" s="148"/>
      <c r="B412" s="148"/>
      <c r="C412" s="148"/>
      <c r="D412" s="148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</row>
    <row r="413">
      <c r="A413" s="148"/>
      <c r="B413" s="148"/>
      <c r="C413" s="148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</row>
    <row r="414">
      <c r="A414" s="148"/>
      <c r="B414" s="148"/>
      <c r="C414" s="148"/>
      <c r="D414" s="148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</row>
    <row r="415">
      <c r="A415" s="148"/>
      <c r="B415" s="148"/>
      <c r="C415" s="148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</row>
    <row r="416">
      <c r="A416" s="148"/>
      <c r="B416" s="148"/>
      <c r="C416" s="148"/>
      <c r="D416" s="148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</row>
    <row r="417">
      <c r="A417" s="148"/>
      <c r="B417" s="148"/>
      <c r="C417" s="148"/>
      <c r="D417" s="148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</row>
    <row r="418">
      <c r="A418" s="148"/>
      <c r="B418" s="148"/>
      <c r="C418" s="148"/>
      <c r="D418" s="148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</row>
    <row r="419">
      <c r="A419" s="148"/>
      <c r="B419" s="148"/>
      <c r="C419" s="148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</row>
    <row r="420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</row>
    <row r="421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</row>
    <row r="422">
      <c r="A422" s="148"/>
      <c r="B422" s="148"/>
      <c r="C422" s="148"/>
      <c r="D422" s="148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</row>
    <row r="423">
      <c r="A423" s="148"/>
      <c r="B423" s="148"/>
      <c r="C423" s="148"/>
      <c r="D423" s="148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</row>
    <row r="424">
      <c r="A424" s="148"/>
      <c r="B424" s="148"/>
      <c r="C424" s="148"/>
      <c r="D424" s="148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</row>
    <row r="425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</row>
    <row r="426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</row>
    <row r="427">
      <c r="A427" s="148"/>
      <c r="B427" s="148"/>
      <c r="C427" s="148"/>
      <c r="D427" s="148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</row>
    <row r="428">
      <c r="A428" s="148"/>
      <c r="B428" s="148"/>
      <c r="C428" s="148"/>
      <c r="D428" s="148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</row>
    <row r="429">
      <c r="A429" s="148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</row>
    <row r="430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</row>
    <row r="431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</row>
    <row r="432">
      <c r="A432" s="148"/>
      <c r="B432" s="148"/>
      <c r="C432" s="148"/>
      <c r="D432" s="148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</row>
    <row r="433">
      <c r="A433" s="148"/>
      <c r="B433" s="148"/>
      <c r="C433" s="148"/>
      <c r="D433" s="148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</row>
    <row r="434">
      <c r="A434" s="148"/>
      <c r="B434" s="148"/>
      <c r="C434" s="148"/>
      <c r="D434" s="148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</row>
    <row r="435">
      <c r="A435" s="148"/>
      <c r="B435" s="148"/>
      <c r="C435" s="148"/>
      <c r="D435" s="148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</row>
    <row r="436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</row>
    <row r="437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</row>
    <row r="438">
      <c r="A438" s="148"/>
      <c r="B438" s="148"/>
      <c r="C438" s="148"/>
      <c r="D438" s="148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</row>
    <row r="439">
      <c r="A439" s="148"/>
      <c r="B439" s="148"/>
      <c r="C439" s="148"/>
      <c r="D439" s="148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</row>
    <row r="440">
      <c r="A440" s="148"/>
      <c r="B440" s="148"/>
      <c r="C440" s="148"/>
      <c r="D440" s="148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</row>
    <row r="441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</row>
    <row r="44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</row>
    <row r="443">
      <c r="A443" s="148"/>
      <c r="B443" s="148"/>
      <c r="C443" s="148"/>
      <c r="D443" s="148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</row>
    <row r="444">
      <c r="A444" s="148"/>
      <c r="B444" s="148"/>
      <c r="C444" s="148"/>
      <c r="D444" s="148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</row>
    <row r="445">
      <c r="A445" s="148"/>
      <c r="B445" s="148"/>
      <c r="C445" s="148"/>
      <c r="D445" s="148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</row>
    <row r="446">
      <c r="A446" s="148"/>
      <c r="B446" s="148"/>
      <c r="C446" s="148"/>
      <c r="D446" s="148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</row>
    <row r="447">
      <c r="A447" s="148"/>
      <c r="B447" s="148"/>
      <c r="C447" s="148"/>
      <c r="D447" s="148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</row>
    <row r="448">
      <c r="A448" s="148"/>
      <c r="B448" s="148"/>
      <c r="C448" s="148"/>
      <c r="D448" s="148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</row>
    <row r="449">
      <c r="A449" s="148"/>
      <c r="B449" s="148"/>
      <c r="C449" s="148"/>
      <c r="D449" s="148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</row>
    <row r="450">
      <c r="A450" s="148"/>
      <c r="B450" s="148"/>
      <c r="C450" s="148"/>
      <c r="D450" s="148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</row>
    <row r="451">
      <c r="A451" s="148"/>
      <c r="B451" s="148"/>
      <c r="C451" s="148"/>
      <c r="D451" s="148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</row>
    <row r="452">
      <c r="A452" s="148"/>
      <c r="B452" s="148"/>
      <c r="C452" s="148"/>
      <c r="D452" s="148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</row>
    <row r="453">
      <c r="A453" s="148"/>
      <c r="B453" s="148"/>
      <c r="C453" s="148"/>
      <c r="D453" s="148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</row>
    <row r="454">
      <c r="A454" s="148"/>
      <c r="B454" s="148"/>
      <c r="C454" s="148"/>
      <c r="D454" s="148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</row>
    <row r="455">
      <c r="A455" s="148"/>
      <c r="B455" s="148"/>
      <c r="C455" s="148"/>
      <c r="D455" s="148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</row>
    <row r="456">
      <c r="A456" s="148"/>
      <c r="B456" s="148"/>
      <c r="C456" s="148"/>
      <c r="D456" s="148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</row>
    <row r="457">
      <c r="A457" s="148"/>
      <c r="B457" s="148"/>
      <c r="C457" s="148"/>
      <c r="D457" s="148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</row>
    <row r="458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</row>
    <row r="459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</row>
    <row r="460">
      <c r="A460" s="148"/>
      <c r="B460" s="148"/>
      <c r="C460" s="148"/>
      <c r="D460" s="148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</row>
    <row r="461">
      <c r="A461" s="148"/>
      <c r="B461" s="148"/>
      <c r="C461" s="148"/>
      <c r="D461" s="148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</row>
    <row r="462">
      <c r="A462" s="148"/>
      <c r="B462" s="148"/>
      <c r="C462" s="148"/>
      <c r="D462" s="148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</row>
    <row r="463">
      <c r="A463" s="148"/>
      <c r="B463" s="148"/>
      <c r="C463" s="148"/>
      <c r="D463" s="148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</row>
    <row r="464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</row>
    <row r="465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</row>
    <row r="466">
      <c r="A466" s="148"/>
      <c r="B466" s="148"/>
      <c r="C466" s="148"/>
      <c r="D466" s="148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</row>
    <row r="467">
      <c r="A467" s="148"/>
      <c r="B467" s="148"/>
      <c r="C467" s="148"/>
      <c r="D467" s="148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</row>
    <row r="468">
      <c r="A468" s="148"/>
      <c r="B468" s="148"/>
      <c r="C468" s="148"/>
      <c r="D468" s="148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</row>
    <row r="469">
      <c r="A469" s="148"/>
      <c r="B469" s="148"/>
      <c r="C469" s="148"/>
      <c r="D469" s="148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</row>
    <row r="470">
      <c r="A470" s="148"/>
      <c r="B470" s="148"/>
      <c r="C470" s="148"/>
      <c r="D470" s="148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</row>
    <row r="471">
      <c r="A471" s="148"/>
      <c r="B471" s="148"/>
      <c r="C471" s="148"/>
      <c r="D471" s="148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</row>
    <row r="472">
      <c r="A472" s="148"/>
      <c r="B472" s="148"/>
      <c r="C472" s="148"/>
      <c r="D472" s="148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</row>
    <row r="473">
      <c r="A473" s="148"/>
      <c r="B473" s="148"/>
      <c r="C473" s="148"/>
      <c r="D473" s="148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</row>
    <row r="474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</row>
    <row r="475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</row>
    <row r="476">
      <c r="A476" s="148"/>
      <c r="B476" s="148"/>
      <c r="C476" s="148"/>
      <c r="D476" s="148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</row>
    <row r="477">
      <c r="A477" s="148"/>
      <c r="B477" s="148"/>
      <c r="C477" s="148"/>
      <c r="D477" s="148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</row>
    <row r="478">
      <c r="A478" s="148"/>
      <c r="B478" s="148"/>
      <c r="C478" s="148"/>
      <c r="D478" s="148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</row>
    <row r="479">
      <c r="A479" s="148"/>
      <c r="B479" s="148"/>
      <c r="C479" s="148"/>
      <c r="D479" s="148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</row>
    <row r="480">
      <c r="A480" s="148"/>
      <c r="B480" s="148"/>
      <c r="C480" s="148"/>
      <c r="D480" s="148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</row>
    <row r="481">
      <c r="A481" s="148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</row>
    <row r="48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</row>
    <row r="483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</row>
    <row r="484">
      <c r="A484" s="148"/>
      <c r="B484" s="148"/>
      <c r="C484" s="148"/>
      <c r="D484" s="148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</row>
    <row r="485">
      <c r="A485" s="148"/>
      <c r="B485" s="148"/>
      <c r="C485" s="148"/>
      <c r="D485" s="148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</row>
    <row r="486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</row>
    <row r="487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</row>
    <row r="488">
      <c r="A488" s="148"/>
      <c r="B488" s="148"/>
      <c r="C488" s="148"/>
      <c r="D488" s="148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</row>
    <row r="489">
      <c r="A489" s="148"/>
      <c r="B489" s="148"/>
      <c r="C489" s="148"/>
      <c r="D489" s="148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</row>
    <row r="490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</row>
    <row r="491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</row>
    <row r="492">
      <c r="A492" s="148"/>
      <c r="B492" s="148"/>
      <c r="C492" s="148"/>
      <c r="D492" s="148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</row>
    <row r="493">
      <c r="A493" s="148"/>
      <c r="B493" s="148"/>
      <c r="C493" s="148"/>
      <c r="D493" s="148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</row>
    <row r="494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</row>
    <row r="495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</row>
    <row r="496">
      <c r="A496" s="148"/>
      <c r="B496" s="148"/>
      <c r="C496" s="148"/>
      <c r="D496" s="148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</row>
    <row r="497">
      <c r="A497" s="148"/>
      <c r="B497" s="148"/>
      <c r="C497" s="148"/>
      <c r="D497" s="148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</row>
    <row r="498">
      <c r="A498" s="148"/>
      <c r="B498" s="148"/>
      <c r="C498" s="148"/>
      <c r="D498" s="148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</row>
    <row r="499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</row>
    <row r="500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</row>
    <row r="501">
      <c r="A501" s="148"/>
      <c r="B501" s="148"/>
      <c r="C501" s="148"/>
      <c r="D501" s="148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</row>
    <row r="502">
      <c r="A502" s="148"/>
      <c r="B502" s="148"/>
      <c r="C502" s="148"/>
      <c r="D502" s="148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</row>
    <row r="503">
      <c r="A503" s="148"/>
      <c r="B503" s="148"/>
      <c r="C503" s="148"/>
      <c r="D503" s="148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</row>
    <row r="504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</row>
    <row r="505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</row>
    <row r="506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</row>
    <row r="507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</row>
    <row r="508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</row>
    <row r="509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</row>
    <row r="510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</row>
    <row r="511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</row>
    <row r="512">
      <c r="A512" s="148"/>
      <c r="B512" s="148"/>
      <c r="C512" s="148"/>
      <c r="D512" s="148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</row>
    <row r="513">
      <c r="A513" s="148"/>
      <c r="B513" s="148"/>
      <c r="C513" s="148"/>
      <c r="D513" s="148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</row>
    <row r="514">
      <c r="A514" s="148"/>
      <c r="B514" s="148"/>
      <c r="C514" s="148"/>
      <c r="D514" s="148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</row>
    <row r="515">
      <c r="A515" s="148"/>
      <c r="B515" s="148"/>
      <c r="C515" s="148"/>
      <c r="D515" s="148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</row>
    <row r="516">
      <c r="A516" s="148"/>
      <c r="B516" s="148"/>
      <c r="C516" s="148"/>
      <c r="D516" s="148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</row>
    <row r="517">
      <c r="A517" s="148"/>
      <c r="B517" s="148"/>
      <c r="C517" s="148"/>
      <c r="D517" s="148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</row>
    <row r="518">
      <c r="A518" s="148"/>
      <c r="B518" s="148"/>
      <c r="C518" s="148"/>
      <c r="D518" s="148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</row>
    <row r="519">
      <c r="A519" s="148"/>
      <c r="B519" s="148"/>
      <c r="C519" s="148"/>
      <c r="D519" s="148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</row>
    <row r="520">
      <c r="A520" s="148"/>
      <c r="B520" s="148"/>
      <c r="C520" s="148"/>
      <c r="D520" s="148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</row>
    <row r="521">
      <c r="A521" s="148"/>
      <c r="B521" s="148"/>
      <c r="C521" s="148"/>
      <c r="D521" s="148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</row>
    <row r="522">
      <c r="A522" s="148"/>
      <c r="B522" s="148"/>
      <c r="C522" s="148"/>
      <c r="D522" s="148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</row>
    <row r="523">
      <c r="A523" s="148"/>
      <c r="B523" s="148"/>
      <c r="C523" s="148"/>
      <c r="D523" s="148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</row>
    <row r="524">
      <c r="A524" s="148"/>
      <c r="B524" s="148"/>
      <c r="C524" s="148"/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</row>
    <row r="525">
      <c r="A525" s="148"/>
      <c r="B525" s="148"/>
      <c r="C525" s="148"/>
      <c r="D525" s="148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</row>
    <row r="526">
      <c r="A526" s="148"/>
      <c r="B526" s="148"/>
      <c r="C526" s="148"/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</row>
    <row r="527">
      <c r="A527" s="148"/>
      <c r="B527" s="148"/>
      <c r="C527" s="148"/>
      <c r="D527" s="148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</row>
    <row r="528">
      <c r="A528" s="148"/>
      <c r="B528" s="148"/>
      <c r="C528" s="148"/>
      <c r="D528" s="148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</row>
    <row r="529">
      <c r="A529" s="148"/>
      <c r="B529" s="148"/>
      <c r="C529" s="148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</row>
    <row r="530">
      <c r="A530" s="148"/>
      <c r="B530" s="148"/>
      <c r="C530" s="148"/>
      <c r="D530" s="148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</row>
    <row r="531">
      <c r="A531" s="148"/>
      <c r="B531" s="148"/>
      <c r="C531" s="148"/>
      <c r="D531" s="148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</row>
    <row r="532">
      <c r="A532" s="148"/>
      <c r="B532" s="148"/>
      <c r="C532" s="148"/>
      <c r="D532" s="148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</row>
    <row r="533">
      <c r="A533" s="148"/>
      <c r="B533" s="148"/>
      <c r="C533" s="148"/>
      <c r="D533" s="148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</row>
    <row r="534">
      <c r="A534" s="148"/>
      <c r="B534" s="148"/>
      <c r="C534" s="148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</row>
    <row r="535">
      <c r="A535" s="148"/>
      <c r="B535" s="148"/>
      <c r="C535" s="148"/>
      <c r="D535" s="148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</row>
    <row r="536">
      <c r="A536" s="148"/>
      <c r="B536" s="148"/>
      <c r="C536" s="148"/>
      <c r="D536" s="148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</row>
    <row r="537">
      <c r="A537" s="148"/>
      <c r="B537" s="148"/>
      <c r="C537" s="148"/>
      <c r="D537" s="148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</row>
    <row r="538">
      <c r="A538" s="148"/>
      <c r="B538" s="148"/>
      <c r="C538" s="148"/>
      <c r="D538" s="148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</row>
    <row r="539">
      <c r="A539" s="148"/>
      <c r="B539" s="148"/>
      <c r="C539" s="148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</row>
    <row r="540">
      <c r="A540" s="148"/>
      <c r="B540" s="148"/>
      <c r="C540" s="148"/>
      <c r="D540" s="148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</row>
    <row r="541">
      <c r="A541" s="148"/>
      <c r="B541" s="148"/>
      <c r="C541" s="148"/>
      <c r="D541" s="148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</row>
    <row r="542">
      <c r="A542" s="148"/>
      <c r="B542" s="148"/>
      <c r="C542" s="148"/>
      <c r="D542" s="148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</row>
    <row r="543">
      <c r="A543" s="148"/>
      <c r="B543" s="148"/>
      <c r="C543" s="148"/>
      <c r="D543" s="148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</row>
    <row r="544">
      <c r="A544" s="148"/>
      <c r="B544" s="148"/>
      <c r="C544" s="148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</row>
    <row r="545">
      <c r="A545" s="148"/>
      <c r="B545" s="148"/>
      <c r="C545" s="148"/>
      <c r="D545" s="148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</row>
    <row r="546">
      <c r="A546" s="148"/>
      <c r="B546" s="148"/>
      <c r="C546" s="148"/>
      <c r="D546" s="148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</row>
    <row r="547">
      <c r="A547" s="148"/>
      <c r="B547" s="148"/>
      <c r="C547" s="148"/>
      <c r="D547" s="148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</row>
    <row r="548">
      <c r="A548" s="148"/>
      <c r="B548" s="148"/>
      <c r="C548" s="148"/>
      <c r="D548" s="148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</row>
    <row r="549">
      <c r="A549" s="148"/>
      <c r="B549" s="148"/>
      <c r="C549" s="148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</row>
    <row r="550">
      <c r="A550" s="148"/>
      <c r="B550" s="148"/>
      <c r="C550" s="148"/>
      <c r="D550" s="148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</row>
    <row r="551">
      <c r="A551" s="148"/>
      <c r="B551" s="148"/>
      <c r="C551" s="148"/>
      <c r="D551" s="148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</row>
    <row r="552">
      <c r="A552" s="148"/>
      <c r="B552" s="148"/>
      <c r="C552" s="148"/>
      <c r="D552" s="148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</row>
    <row r="553">
      <c r="A553" s="148"/>
      <c r="B553" s="148"/>
      <c r="C553" s="148"/>
      <c r="D553" s="148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</row>
    <row r="554">
      <c r="A554" s="148"/>
      <c r="B554" s="148"/>
      <c r="C554" s="148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</row>
    <row r="555">
      <c r="A555" s="148"/>
      <c r="B555" s="148"/>
      <c r="C555" s="148"/>
      <c r="D555" s="148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</row>
    <row r="556">
      <c r="A556" s="148"/>
      <c r="B556" s="148"/>
      <c r="C556" s="148"/>
      <c r="D556" s="148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</row>
    <row r="557">
      <c r="A557" s="148"/>
      <c r="B557" s="148"/>
      <c r="C557" s="148"/>
      <c r="D557" s="148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</row>
    <row r="558">
      <c r="A558" s="148"/>
      <c r="B558" s="148"/>
      <c r="C558" s="148"/>
      <c r="D558" s="148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</row>
    <row r="559">
      <c r="A559" s="148"/>
      <c r="B559" s="148"/>
      <c r="C559" s="148"/>
      <c r="D559" s="148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</row>
    <row r="560">
      <c r="A560" s="148"/>
      <c r="B560" s="148"/>
      <c r="C560" s="148"/>
      <c r="D560" s="148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</row>
    <row r="561">
      <c r="A561" s="148"/>
      <c r="B561" s="148"/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</row>
    <row r="562">
      <c r="A562" s="148"/>
      <c r="B562" s="148"/>
      <c r="C562" s="148"/>
      <c r="D562" s="148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</row>
    <row r="563">
      <c r="A563" s="148"/>
      <c r="B563" s="148"/>
      <c r="C563" s="148"/>
      <c r="D563" s="148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</row>
    <row r="564">
      <c r="A564" s="148"/>
      <c r="B564" s="148"/>
      <c r="C564" s="148"/>
      <c r="D564" s="148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</row>
    <row r="565">
      <c r="A565" s="148"/>
      <c r="B565" s="148"/>
      <c r="C565" s="148"/>
      <c r="D565" s="148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</row>
    <row r="566">
      <c r="A566" s="148"/>
      <c r="B566" s="148"/>
      <c r="C566" s="148"/>
      <c r="D566" s="148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</row>
    <row r="567">
      <c r="A567" s="148"/>
      <c r="B567" s="148"/>
      <c r="C567" s="148"/>
      <c r="D567" s="148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</row>
    <row r="568">
      <c r="A568" s="148"/>
      <c r="B568" s="148"/>
      <c r="C568" s="148"/>
      <c r="D568" s="148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</row>
    <row r="569">
      <c r="A569" s="148"/>
      <c r="B569" s="148"/>
      <c r="C569" s="148"/>
      <c r="D569" s="148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</row>
    <row r="570">
      <c r="A570" s="148"/>
      <c r="B570" s="148"/>
      <c r="C570" s="148"/>
      <c r="D570" s="148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</row>
    <row r="571">
      <c r="A571" s="148"/>
      <c r="B571" s="148"/>
      <c r="C571" s="148"/>
      <c r="D571" s="148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</row>
    <row r="572">
      <c r="A572" s="148"/>
      <c r="B572" s="148"/>
      <c r="C572" s="148"/>
      <c r="D572" s="148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</row>
    <row r="573">
      <c r="A573" s="148"/>
      <c r="B573" s="148"/>
      <c r="C573" s="148"/>
      <c r="D573" s="148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</row>
    <row r="574">
      <c r="A574" s="148"/>
      <c r="B574" s="148"/>
      <c r="C574" s="148"/>
      <c r="D574" s="148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</row>
    <row r="575">
      <c r="A575" s="148"/>
      <c r="B575" s="148"/>
      <c r="C575" s="148"/>
      <c r="D575" s="148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</row>
    <row r="576">
      <c r="A576" s="148"/>
      <c r="B576" s="148"/>
      <c r="C576" s="148"/>
      <c r="D576" s="148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</row>
    <row r="577">
      <c r="A577" s="148"/>
      <c r="B577" s="148"/>
      <c r="C577" s="148"/>
      <c r="D577" s="148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</row>
    <row r="578">
      <c r="A578" s="148"/>
      <c r="B578" s="148"/>
      <c r="C578" s="148"/>
      <c r="D578" s="148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</row>
    <row r="579">
      <c r="A579" s="148"/>
      <c r="B579" s="148"/>
      <c r="C579" s="148"/>
      <c r="D579" s="148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</row>
    <row r="580">
      <c r="A580" s="148"/>
      <c r="B580" s="148"/>
      <c r="C580" s="148"/>
      <c r="D580" s="148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</row>
    <row r="581">
      <c r="A581" s="148"/>
      <c r="B581" s="148"/>
      <c r="C581" s="148"/>
      <c r="D581" s="148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</row>
    <row r="582">
      <c r="A582" s="148"/>
      <c r="B582" s="148"/>
      <c r="C582" s="148"/>
      <c r="D582" s="148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</row>
    <row r="583">
      <c r="A583" s="148"/>
      <c r="B583" s="148"/>
      <c r="C583" s="148"/>
      <c r="D583" s="148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</row>
    <row r="584">
      <c r="A584" s="148"/>
      <c r="B584" s="148"/>
      <c r="C584" s="148"/>
      <c r="D584" s="148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</row>
    <row r="585">
      <c r="A585" s="148"/>
      <c r="B585" s="148"/>
      <c r="C585" s="148"/>
      <c r="D585" s="148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</row>
    <row r="586">
      <c r="A586" s="148"/>
      <c r="B586" s="148"/>
      <c r="C586" s="148"/>
      <c r="D586" s="148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</row>
    <row r="587">
      <c r="A587" s="148"/>
      <c r="B587" s="148"/>
      <c r="C587" s="148"/>
      <c r="D587" s="148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</row>
    <row r="588">
      <c r="A588" s="148"/>
      <c r="B588" s="148"/>
      <c r="C588" s="148"/>
      <c r="D588" s="148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</row>
    <row r="589">
      <c r="A589" s="148"/>
      <c r="B589" s="148"/>
      <c r="C589" s="148"/>
      <c r="D589" s="148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</row>
    <row r="590">
      <c r="A590" s="148"/>
      <c r="B590" s="148"/>
      <c r="C590" s="148"/>
      <c r="D590" s="148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</row>
    <row r="591">
      <c r="A591" s="148"/>
      <c r="B591" s="148"/>
      <c r="C591" s="148"/>
      <c r="D591" s="148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</row>
    <row r="592">
      <c r="A592" s="148"/>
      <c r="B592" s="148"/>
      <c r="C592" s="148"/>
      <c r="D592" s="148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</row>
    <row r="593">
      <c r="A593" s="148"/>
      <c r="B593" s="148"/>
      <c r="C593" s="148"/>
      <c r="D593" s="148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</row>
    <row r="594">
      <c r="A594" s="148"/>
      <c r="B594" s="148"/>
      <c r="C594" s="148"/>
      <c r="D594" s="148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</row>
    <row r="595">
      <c r="A595" s="148"/>
      <c r="B595" s="148"/>
      <c r="C595" s="148"/>
      <c r="D595" s="148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</row>
    <row r="596">
      <c r="A596" s="148"/>
      <c r="B596" s="148"/>
      <c r="C596" s="148"/>
      <c r="D596" s="148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</row>
    <row r="597">
      <c r="A597" s="148"/>
      <c r="B597" s="148"/>
      <c r="C597" s="148"/>
      <c r="D597" s="148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</row>
    <row r="598">
      <c r="A598" s="148"/>
      <c r="B598" s="148"/>
      <c r="C598" s="148"/>
      <c r="D598" s="148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</row>
    <row r="599">
      <c r="A599" s="148"/>
      <c r="B599" s="148"/>
      <c r="C599" s="148"/>
      <c r="D599" s="148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</row>
    <row r="600">
      <c r="A600" s="148"/>
      <c r="B600" s="148"/>
      <c r="C600" s="148"/>
      <c r="D600" s="148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</row>
    <row r="601">
      <c r="A601" s="148"/>
      <c r="B601" s="148"/>
      <c r="C601" s="148"/>
      <c r="D601" s="148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</row>
    <row r="602">
      <c r="A602" s="148"/>
      <c r="B602" s="148"/>
      <c r="C602" s="148"/>
      <c r="D602" s="148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</row>
    <row r="603">
      <c r="A603" s="148"/>
      <c r="B603" s="148"/>
      <c r="C603" s="148"/>
      <c r="D603" s="148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</row>
    <row r="604">
      <c r="A604" s="148"/>
      <c r="B604" s="148"/>
      <c r="C604" s="148"/>
      <c r="D604" s="148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</row>
    <row r="605">
      <c r="A605" s="148"/>
      <c r="B605" s="148"/>
      <c r="C605" s="148"/>
      <c r="D605" s="148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</row>
    <row r="606">
      <c r="A606" s="148"/>
      <c r="B606" s="148"/>
      <c r="C606" s="148"/>
      <c r="D606" s="148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</row>
    <row r="607">
      <c r="A607" s="148"/>
      <c r="B607" s="148"/>
      <c r="C607" s="148"/>
      <c r="D607" s="148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</row>
    <row r="608">
      <c r="A608" s="148"/>
      <c r="B608" s="148"/>
      <c r="C608" s="148"/>
      <c r="D608" s="148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</row>
    <row r="609">
      <c r="A609" s="148"/>
      <c r="B609" s="148"/>
      <c r="C609" s="148"/>
      <c r="D609" s="148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</row>
    <row r="610">
      <c r="A610" s="148"/>
      <c r="B610" s="148"/>
      <c r="C610" s="148"/>
      <c r="D610" s="148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</row>
    <row r="611">
      <c r="A611" s="148"/>
      <c r="B611" s="148"/>
      <c r="C611" s="148"/>
      <c r="D611" s="148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</row>
    <row r="612">
      <c r="A612" s="148"/>
      <c r="B612" s="148"/>
      <c r="C612" s="148"/>
      <c r="D612" s="148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</row>
    <row r="613">
      <c r="A613" s="148"/>
      <c r="B613" s="148"/>
      <c r="C613" s="148"/>
      <c r="D613" s="148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</row>
    <row r="614">
      <c r="A614" s="148"/>
      <c r="B614" s="148"/>
      <c r="C614" s="148"/>
      <c r="D614" s="148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</row>
    <row r="615">
      <c r="A615" s="148"/>
      <c r="B615" s="148"/>
      <c r="C615" s="148"/>
      <c r="D615" s="148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</row>
    <row r="616">
      <c r="A616" s="148"/>
      <c r="B616" s="148"/>
      <c r="C616" s="148"/>
      <c r="D616" s="148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</row>
    <row r="617">
      <c r="A617" s="148"/>
      <c r="B617" s="148"/>
      <c r="C617" s="148"/>
      <c r="D617" s="148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</row>
    <row r="618">
      <c r="A618" s="148"/>
      <c r="B618" s="148"/>
      <c r="C618" s="148"/>
      <c r="D618" s="148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</row>
    <row r="619">
      <c r="A619" s="148"/>
      <c r="B619" s="148"/>
      <c r="C619" s="148"/>
      <c r="D619" s="148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</row>
    <row r="620">
      <c r="A620" s="148"/>
      <c r="B620" s="148"/>
      <c r="C620" s="148"/>
      <c r="D620" s="148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</row>
    <row r="621">
      <c r="A621" s="148"/>
      <c r="B621" s="148"/>
      <c r="C621" s="148"/>
      <c r="D621" s="148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</row>
    <row r="622">
      <c r="A622" s="148"/>
      <c r="B622" s="148"/>
      <c r="C622" s="148"/>
      <c r="D622" s="148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</row>
    <row r="623">
      <c r="A623" s="148"/>
      <c r="B623" s="148"/>
      <c r="C623" s="148"/>
      <c r="D623" s="148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</row>
    <row r="624">
      <c r="A624" s="148"/>
      <c r="B624" s="148"/>
      <c r="C624" s="148"/>
      <c r="D624" s="148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</row>
    <row r="625">
      <c r="A625" s="148"/>
      <c r="B625" s="148"/>
      <c r="C625" s="148"/>
      <c r="D625" s="148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</row>
    <row r="626">
      <c r="A626" s="148"/>
      <c r="B626" s="148"/>
      <c r="C626" s="148"/>
      <c r="D626" s="148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</row>
    <row r="627">
      <c r="A627" s="148"/>
      <c r="B627" s="148"/>
      <c r="C627" s="148"/>
      <c r="D627" s="148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</row>
    <row r="628">
      <c r="A628" s="148"/>
      <c r="B628" s="148"/>
      <c r="C628" s="148"/>
      <c r="D628" s="148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</row>
    <row r="629">
      <c r="A629" s="148"/>
      <c r="B629" s="148"/>
      <c r="C629" s="148"/>
      <c r="D629" s="148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</row>
    <row r="630">
      <c r="A630" s="148"/>
      <c r="B630" s="148"/>
      <c r="C630" s="148"/>
      <c r="D630" s="148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</row>
    <row r="631">
      <c r="A631" s="148"/>
      <c r="B631" s="148"/>
      <c r="C631" s="148"/>
      <c r="D631" s="148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</row>
    <row r="632">
      <c r="A632" s="148"/>
      <c r="B632" s="148"/>
      <c r="C632" s="148"/>
      <c r="D632" s="148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</row>
    <row r="633">
      <c r="A633" s="148"/>
      <c r="B633" s="148"/>
      <c r="C633" s="148"/>
      <c r="D633" s="148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</row>
    <row r="634">
      <c r="A634" s="148"/>
      <c r="B634" s="148"/>
      <c r="C634" s="148"/>
      <c r="D634" s="148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</row>
    <row r="635">
      <c r="A635" s="148"/>
      <c r="B635" s="148"/>
      <c r="C635" s="148"/>
      <c r="D635" s="148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</row>
    <row r="636">
      <c r="A636" s="148"/>
      <c r="B636" s="148"/>
      <c r="C636" s="148"/>
      <c r="D636" s="148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</row>
    <row r="637">
      <c r="A637" s="148"/>
      <c r="B637" s="148"/>
      <c r="C637" s="148"/>
      <c r="D637" s="148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</row>
    <row r="638">
      <c r="A638" s="148"/>
      <c r="B638" s="148"/>
      <c r="C638" s="148"/>
      <c r="D638" s="148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</row>
    <row r="639">
      <c r="A639" s="148"/>
      <c r="B639" s="148"/>
      <c r="C639" s="148"/>
      <c r="D639" s="148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</row>
    <row r="640">
      <c r="A640" s="148"/>
      <c r="B640" s="148"/>
      <c r="C640" s="148"/>
      <c r="D640" s="148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</row>
    <row r="641">
      <c r="A641" s="148"/>
      <c r="B641" s="148"/>
      <c r="C641" s="148"/>
      <c r="D641" s="148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</row>
    <row r="642">
      <c r="A642" s="148"/>
      <c r="B642" s="148"/>
      <c r="C642" s="148"/>
      <c r="D642" s="148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</row>
    <row r="643">
      <c r="A643" s="148"/>
      <c r="B643" s="148"/>
      <c r="C643" s="148"/>
      <c r="D643" s="148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</row>
    <row r="644">
      <c r="A644" s="148"/>
      <c r="B644" s="148"/>
      <c r="C644" s="148"/>
      <c r="D644" s="148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</row>
    <row r="645">
      <c r="A645" s="148"/>
      <c r="B645" s="148"/>
      <c r="C645" s="148"/>
      <c r="D645" s="148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</row>
    <row r="646">
      <c r="A646" s="148"/>
      <c r="B646" s="148"/>
      <c r="C646" s="148"/>
      <c r="D646" s="148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</row>
    <row r="647">
      <c r="A647" s="148"/>
      <c r="B647" s="148"/>
      <c r="C647" s="148"/>
      <c r="D647" s="148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</row>
    <row r="648">
      <c r="A648" s="148"/>
      <c r="B648" s="148"/>
      <c r="C648" s="148"/>
      <c r="D648" s="148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</row>
    <row r="649">
      <c r="A649" s="148"/>
      <c r="B649" s="148"/>
      <c r="C649" s="148"/>
      <c r="D649" s="148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</row>
    <row r="650">
      <c r="A650" s="148"/>
      <c r="B650" s="148"/>
      <c r="C650" s="148"/>
      <c r="D650" s="148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</row>
    <row r="651">
      <c r="A651" s="148"/>
      <c r="B651" s="148"/>
      <c r="C651" s="148"/>
      <c r="D651" s="148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</row>
    <row r="652">
      <c r="A652" s="148"/>
      <c r="B652" s="148"/>
      <c r="C652" s="148"/>
      <c r="D652" s="148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</row>
    <row r="653">
      <c r="A653" s="148"/>
      <c r="B653" s="148"/>
      <c r="C653" s="148"/>
      <c r="D653" s="148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</row>
    <row r="654">
      <c r="A654" s="148"/>
      <c r="B654" s="148"/>
      <c r="C654" s="148"/>
      <c r="D654" s="148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</row>
    <row r="655">
      <c r="A655" s="148"/>
      <c r="B655" s="148"/>
      <c r="C655" s="148"/>
      <c r="D655" s="148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</row>
    <row r="656">
      <c r="A656" s="148"/>
      <c r="B656" s="148"/>
      <c r="C656" s="148"/>
      <c r="D656" s="148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</row>
    <row r="657">
      <c r="A657" s="148"/>
      <c r="B657" s="148"/>
      <c r="C657" s="148"/>
      <c r="D657" s="148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</row>
    <row r="658">
      <c r="A658" s="148"/>
      <c r="B658" s="148"/>
      <c r="C658" s="148"/>
      <c r="D658" s="148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</row>
    <row r="659">
      <c r="A659" s="148"/>
      <c r="B659" s="148"/>
      <c r="C659" s="148"/>
      <c r="D659" s="148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</row>
    <row r="660">
      <c r="A660" s="148"/>
      <c r="B660" s="148"/>
      <c r="C660" s="148"/>
      <c r="D660" s="148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</row>
    <row r="661">
      <c r="A661" s="148"/>
      <c r="B661" s="148"/>
      <c r="C661" s="148"/>
      <c r="D661" s="148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</row>
    <row r="662">
      <c r="A662" s="148"/>
      <c r="B662" s="148"/>
      <c r="C662" s="148"/>
      <c r="D662" s="148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</row>
    <row r="663">
      <c r="A663" s="148"/>
      <c r="B663" s="148"/>
      <c r="C663" s="148"/>
      <c r="D663" s="148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</row>
    <row r="664">
      <c r="A664" s="148"/>
      <c r="B664" s="148"/>
      <c r="C664" s="148"/>
      <c r="D664" s="148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</row>
    <row r="665">
      <c r="A665" s="148"/>
      <c r="B665" s="148"/>
      <c r="C665" s="148"/>
      <c r="D665" s="148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</row>
    <row r="666">
      <c r="A666" s="148"/>
      <c r="B666" s="148"/>
      <c r="C666" s="148"/>
      <c r="D666" s="148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</row>
    <row r="667">
      <c r="A667" s="148"/>
      <c r="B667" s="148"/>
      <c r="C667" s="148"/>
      <c r="D667" s="148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</row>
    <row r="668">
      <c r="A668" s="148"/>
      <c r="B668" s="148"/>
      <c r="C668" s="148"/>
      <c r="D668" s="148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</row>
    <row r="669">
      <c r="A669" s="148"/>
      <c r="B669" s="148"/>
      <c r="C669" s="148"/>
      <c r="D669" s="148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</row>
    <row r="670">
      <c r="A670" s="148"/>
      <c r="B670" s="148"/>
      <c r="C670" s="148"/>
      <c r="D670" s="148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</row>
    <row r="671">
      <c r="A671" s="148"/>
      <c r="B671" s="148"/>
      <c r="C671" s="148"/>
      <c r="D671" s="148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</row>
    <row r="672">
      <c r="A672" s="148"/>
      <c r="B672" s="148"/>
      <c r="C672" s="148"/>
      <c r="D672" s="148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</row>
    <row r="673">
      <c r="A673" s="148"/>
      <c r="B673" s="148"/>
      <c r="C673" s="148"/>
      <c r="D673" s="148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</row>
    <row r="674">
      <c r="A674" s="148"/>
      <c r="B674" s="148"/>
      <c r="C674" s="148"/>
      <c r="D674" s="148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</row>
    <row r="675">
      <c r="A675" s="148"/>
      <c r="B675" s="148"/>
      <c r="C675" s="148"/>
      <c r="D675" s="148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</row>
    <row r="676">
      <c r="A676" s="148"/>
      <c r="B676" s="148"/>
      <c r="C676" s="148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</row>
    <row r="677">
      <c r="A677" s="148"/>
      <c r="B677" s="148"/>
      <c r="C677" s="148"/>
      <c r="D677" s="148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</row>
    <row r="678">
      <c r="A678" s="148"/>
      <c r="B678" s="148"/>
      <c r="C678" s="148"/>
      <c r="D678" s="148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</row>
    <row r="679">
      <c r="A679" s="148"/>
      <c r="B679" s="148"/>
      <c r="C679" s="148"/>
      <c r="D679" s="148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</row>
    <row r="680">
      <c r="A680" s="148"/>
      <c r="B680" s="148"/>
      <c r="C680" s="148"/>
      <c r="D680" s="148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</row>
    <row r="681">
      <c r="A681" s="148"/>
      <c r="B681" s="148"/>
      <c r="C681" s="148"/>
      <c r="D681" s="148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</row>
    <row r="682">
      <c r="A682" s="148"/>
      <c r="B682" s="148"/>
      <c r="C682" s="148"/>
      <c r="D682" s="148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</row>
    <row r="683">
      <c r="A683" s="148"/>
      <c r="B683" s="148"/>
      <c r="C683" s="148"/>
      <c r="D683" s="148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</row>
    <row r="684">
      <c r="A684" s="148"/>
      <c r="B684" s="148"/>
      <c r="C684" s="148"/>
      <c r="D684" s="148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</row>
    <row r="685">
      <c r="A685" s="148"/>
      <c r="B685" s="148"/>
      <c r="C685" s="148"/>
      <c r="D685" s="148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</row>
    <row r="686">
      <c r="A686" s="148"/>
      <c r="B686" s="148"/>
      <c r="C686" s="148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</row>
    <row r="687">
      <c r="A687" s="148"/>
      <c r="B687" s="148"/>
      <c r="C687" s="148"/>
      <c r="D687" s="148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</row>
    <row r="688">
      <c r="A688" s="148"/>
      <c r="B688" s="148"/>
      <c r="C688" s="148"/>
      <c r="D688" s="148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</row>
    <row r="689">
      <c r="A689" s="148"/>
      <c r="B689" s="148"/>
      <c r="C689" s="148"/>
      <c r="D689" s="148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</row>
    <row r="690">
      <c r="A690" s="148"/>
      <c r="B690" s="148"/>
      <c r="C690" s="148"/>
      <c r="D690" s="148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</row>
    <row r="691">
      <c r="A691" s="148"/>
      <c r="B691" s="148"/>
      <c r="C691" s="148"/>
      <c r="D691" s="148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</row>
    <row r="692">
      <c r="A692" s="148"/>
      <c r="B692" s="148"/>
      <c r="C692" s="148"/>
      <c r="D692" s="148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</row>
    <row r="693">
      <c r="A693" s="148"/>
      <c r="B693" s="148"/>
      <c r="C693" s="148"/>
      <c r="D693" s="148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</row>
    <row r="694">
      <c r="A694" s="148"/>
      <c r="B694" s="148"/>
      <c r="C694" s="148"/>
      <c r="D694" s="148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</row>
    <row r="695">
      <c r="A695" s="148"/>
      <c r="B695" s="148"/>
      <c r="C695" s="148"/>
      <c r="D695" s="148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</row>
    <row r="696">
      <c r="A696" s="148"/>
      <c r="B696" s="148"/>
      <c r="C696" s="148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</row>
    <row r="697">
      <c r="A697" s="148"/>
      <c r="B697" s="148"/>
      <c r="C697" s="148"/>
      <c r="D697" s="148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</row>
    <row r="698">
      <c r="A698" s="148"/>
      <c r="B698" s="148"/>
      <c r="C698" s="148"/>
      <c r="D698" s="148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</row>
    <row r="699">
      <c r="A699" s="148"/>
      <c r="B699" s="148"/>
      <c r="C699" s="148"/>
      <c r="D699" s="148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</row>
    <row r="700">
      <c r="A700" s="148"/>
      <c r="B700" s="148"/>
      <c r="C700" s="148"/>
      <c r="D700" s="148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</row>
    <row r="701">
      <c r="A701" s="148"/>
      <c r="B701" s="148"/>
      <c r="C701" s="148"/>
      <c r="D701" s="148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</row>
    <row r="702">
      <c r="A702" s="148"/>
      <c r="B702" s="148"/>
      <c r="C702" s="148"/>
      <c r="D702" s="148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</row>
    <row r="703">
      <c r="A703" s="148"/>
      <c r="B703" s="148"/>
      <c r="C703" s="148"/>
      <c r="D703" s="148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</row>
    <row r="704">
      <c r="A704" s="148"/>
      <c r="B704" s="148"/>
      <c r="C704" s="148"/>
      <c r="D704" s="148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</row>
    <row r="705">
      <c r="A705" s="148"/>
      <c r="B705" s="148"/>
      <c r="C705" s="148"/>
      <c r="D705" s="148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</row>
    <row r="706">
      <c r="A706" s="148"/>
      <c r="B706" s="148"/>
      <c r="C706" s="148"/>
      <c r="D706" s="148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</row>
    <row r="707">
      <c r="A707" s="148"/>
      <c r="B707" s="148"/>
      <c r="C707" s="148"/>
      <c r="D707" s="148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</row>
    <row r="708">
      <c r="A708" s="148"/>
      <c r="B708" s="148"/>
      <c r="C708" s="148"/>
      <c r="D708" s="148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</row>
    <row r="709">
      <c r="A709" s="148"/>
      <c r="B709" s="148"/>
      <c r="C709" s="148"/>
      <c r="D709" s="148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</row>
    <row r="710">
      <c r="A710" s="148"/>
      <c r="B710" s="148"/>
      <c r="C710" s="148"/>
      <c r="D710" s="148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</row>
    <row r="711">
      <c r="A711" s="148"/>
      <c r="B711" s="148"/>
      <c r="C711" s="148"/>
      <c r="D711" s="148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</row>
    <row r="712">
      <c r="A712" s="148"/>
      <c r="B712" s="148"/>
      <c r="C712" s="148"/>
      <c r="D712" s="148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</row>
    <row r="713">
      <c r="A713" s="148"/>
      <c r="B713" s="148"/>
      <c r="C713" s="148"/>
      <c r="D713" s="148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</row>
    <row r="714">
      <c r="A714" s="148"/>
      <c r="B714" s="148"/>
      <c r="C714" s="148"/>
      <c r="D714" s="148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</row>
    <row r="715">
      <c r="A715" s="148"/>
      <c r="B715" s="148"/>
      <c r="C715" s="148"/>
      <c r="D715" s="148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</row>
    <row r="716">
      <c r="A716" s="148"/>
      <c r="B716" s="148"/>
      <c r="C716" s="148"/>
      <c r="D716" s="148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</row>
    <row r="717">
      <c r="A717" s="148"/>
      <c r="B717" s="148"/>
      <c r="C717" s="148"/>
      <c r="D717" s="148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</row>
    <row r="718">
      <c r="A718" s="148"/>
      <c r="B718" s="148"/>
      <c r="C718" s="148"/>
      <c r="D718" s="148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</row>
    <row r="719">
      <c r="A719" s="148"/>
      <c r="B719" s="148"/>
      <c r="C719" s="148"/>
      <c r="D719" s="148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</row>
    <row r="720">
      <c r="A720" s="148"/>
      <c r="B720" s="148"/>
      <c r="C720" s="148"/>
      <c r="D720" s="148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</row>
    <row r="721">
      <c r="A721" s="148"/>
      <c r="B721" s="148"/>
      <c r="C721" s="148"/>
      <c r="D721" s="148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</row>
    <row r="722">
      <c r="A722" s="148"/>
      <c r="B722" s="148"/>
      <c r="C722" s="148"/>
      <c r="D722" s="148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</row>
    <row r="723">
      <c r="A723" s="148"/>
      <c r="B723" s="148"/>
      <c r="C723" s="148"/>
      <c r="D723" s="148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</row>
    <row r="724">
      <c r="A724" s="148"/>
      <c r="B724" s="148"/>
      <c r="C724" s="148"/>
      <c r="D724" s="148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</row>
    <row r="725">
      <c r="A725" s="148"/>
      <c r="B725" s="148"/>
      <c r="C725" s="148"/>
      <c r="D725" s="148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</row>
    <row r="726">
      <c r="A726" s="148"/>
      <c r="B726" s="148"/>
      <c r="C726" s="148"/>
      <c r="D726" s="148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</row>
    <row r="727">
      <c r="A727" s="148"/>
      <c r="B727" s="148"/>
      <c r="C727" s="148"/>
      <c r="D727" s="148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</row>
    <row r="728">
      <c r="A728" s="148"/>
      <c r="B728" s="148"/>
      <c r="C728" s="148"/>
      <c r="D728" s="148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</row>
    <row r="729">
      <c r="A729" s="148"/>
      <c r="B729" s="148"/>
      <c r="C729" s="148"/>
      <c r="D729" s="148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</row>
    <row r="730">
      <c r="A730" s="148"/>
      <c r="B730" s="148"/>
      <c r="C730" s="148"/>
      <c r="D730" s="148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</row>
    <row r="731">
      <c r="A731" s="148"/>
      <c r="B731" s="148"/>
      <c r="C731" s="148"/>
      <c r="D731" s="148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</row>
    <row r="732">
      <c r="A732" s="148"/>
      <c r="B732" s="148"/>
      <c r="C732" s="148"/>
      <c r="D732" s="148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</row>
    <row r="733">
      <c r="A733" s="148"/>
      <c r="B733" s="148"/>
      <c r="C733" s="148"/>
      <c r="D733" s="148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</row>
    <row r="734">
      <c r="A734" s="148"/>
      <c r="B734" s="148"/>
      <c r="C734" s="148"/>
      <c r="D734" s="148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</row>
    <row r="735">
      <c r="A735" s="148"/>
      <c r="B735" s="148"/>
      <c r="C735" s="148"/>
      <c r="D735" s="148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</row>
    <row r="736">
      <c r="A736" s="148"/>
      <c r="B736" s="148"/>
      <c r="C736" s="148"/>
      <c r="D736" s="148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</row>
    <row r="737">
      <c r="A737" s="148"/>
      <c r="B737" s="148"/>
      <c r="C737" s="148"/>
      <c r="D737" s="148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</row>
    <row r="738">
      <c r="A738" s="148"/>
      <c r="B738" s="148"/>
      <c r="C738" s="148"/>
      <c r="D738" s="148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</row>
    <row r="739">
      <c r="A739" s="148"/>
      <c r="B739" s="148"/>
      <c r="C739" s="148"/>
      <c r="D739" s="148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</row>
    <row r="740">
      <c r="A740" s="148"/>
      <c r="B740" s="148"/>
      <c r="C740" s="148"/>
      <c r="D740" s="148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</row>
    <row r="741">
      <c r="A741" s="148"/>
      <c r="B741" s="148"/>
      <c r="C741" s="148"/>
      <c r="D741" s="148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</row>
    <row r="742">
      <c r="A742" s="148"/>
      <c r="B742" s="148"/>
      <c r="C742" s="148"/>
      <c r="D742" s="148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</row>
    <row r="743">
      <c r="A743" s="148"/>
      <c r="B743" s="148"/>
      <c r="C743" s="148"/>
      <c r="D743" s="148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</row>
    <row r="744">
      <c r="A744" s="148"/>
      <c r="B744" s="148"/>
      <c r="C744" s="148"/>
      <c r="D744" s="148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</row>
    <row r="745">
      <c r="A745" s="148"/>
      <c r="B745" s="148"/>
      <c r="C745" s="148"/>
      <c r="D745" s="148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</row>
    <row r="746">
      <c r="A746" s="148"/>
      <c r="B746" s="148"/>
      <c r="C746" s="148"/>
      <c r="D746" s="148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</row>
    <row r="747">
      <c r="A747" s="148"/>
      <c r="B747" s="148"/>
      <c r="C747" s="148"/>
      <c r="D747" s="148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</row>
    <row r="748">
      <c r="A748" s="148"/>
      <c r="B748" s="148"/>
      <c r="C748" s="148"/>
      <c r="D748" s="148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</row>
    <row r="749">
      <c r="A749" s="148"/>
      <c r="B749" s="148"/>
      <c r="C749" s="148"/>
      <c r="D749" s="148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</row>
    <row r="750">
      <c r="A750" s="148"/>
      <c r="B750" s="148"/>
      <c r="C750" s="148"/>
      <c r="D750" s="148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</row>
    <row r="751">
      <c r="A751" s="148"/>
      <c r="B751" s="148"/>
      <c r="C751" s="148"/>
      <c r="D751" s="148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</row>
    <row r="752">
      <c r="A752" s="148"/>
      <c r="B752" s="148"/>
      <c r="C752" s="148"/>
      <c r="D752" s="148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</row>
    <row r="753">
      <c r="A753" s="148"/>
      <c r="B753" s="148"/>
      <c r="C753" s="148"/>
      <c r="D753" s="148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</row>
    <row r="754">
      <c r="A754" s="148"/>
      <c r="B754" s="148"/>
      <c r="C754" s="148"/>
      <c r="D754" s="148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</row>
    <row r="755">
      <c r="A755" s="148"/>
      <c r="B755" s="148"/>
      <c r="C755" s="148"/>
      <c r="D755" s="148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</row>
    <row r="756">
      <c r="A756" s="148"/>
      <c r="B756" s="148"/>
      <c r="C756" s="148"/>
      <c r="D756" s="148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</row>
    <row r="757">
      <c r="A757" s="148"/>
      <c r="B757" s="148"/>
      <c r="C757" s="148"/>
      <c r="D757" s="148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</row>
    <row r="758">
      <c r="A758" s="148"/>
      <c r="B758" s="148"/>
      <c r="C758" s="148"/>
      <c r="D758" s="148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</row>
    <row r="759">
      <c r="A759" s="148"/>
      <c r="B759" s="148"/>
      <c r="C759" s="148"/>
      <c r="D759" s="148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</row>
    <row r="760">
      <c r="A760" s="148"/>
      <c r="B760" s="148"/>
      <c r="C760" s="148"/>
      <c r="D760" s="148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</row>
    <row r="761">
      <c r="A761" s="148"/>
      <c r="B761" s="148"/>
      <c r="C761" s="148"/>
      <c r="D761" s="148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</row>
    <row r="762">
      <c r="A762" s="148"/>
      <c r="B762" s="148"/>
      <c r="C762" s="148"/>
      <c r="D762" s="148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</row>
    <row r="763">
      <c r="A763" s="148"/>
      <c r="B763" s="148"/>
      <c r="C763" s="148"/>
      <c r="D763" s="148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</row>
    <row r="764">
      <c r="A764" s="148"/>
      <c r="B764" s="148"/>
      <c r="C764" s="148"/>
      <c r="D764" s="148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</row>
    <row r="765">
      <c r="A765" s="148"/>
      <c r="B765" s="148"/>
      <c r="C765" s="148"/>
      <c r="D765" s="148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</row>
    <row r="766">
      <c r="A766" s="148"/>
      <c r="B766" s="148"/>
      <c r="C766" s="148"/>
      <c r="D766" s="148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</row>
    <row r="767">
      <c r="A767" s="148"/>
      <c r="B767" s="148"/>
      <c r="C767" s="148"/>
      <c r="D767" s="148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</row>
    <row r="768">
      <c r="A768" s="148"/>
      <c r="B768" s="148"/>
      <c r="C768" s="148"/>
      <c r="D768" s="148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</row>
    <row r="769">
      <c r="A769" s="148"/>
      <c r="B769" s="148"/>
      <c r="C769" s="148"/>
      <c r="D769" s="148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</row>
    <row r="770">
      <c r="A770" s="148"/>
      <c r="B770" s="148"/>
      <c r="C770" s="148"/>
      <c r="D770" s="148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</row>
    <row r="771">
      <c r="A771" s="148"/>
      <c r="B771" s="148"/>
      <c r="C771" s="148"/>
      <c r="D771" s="148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</row>
    <row r="772">
      <c r="A772" s="148"/>
      <c r="B772" s="148"/>
      <c r="C772" s="148"/>
      <c r="D772" s="148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</row>
    <row r="773">
      <c r="A773" s="148"/>
      <c r="B773" s="148"/>
      <c r="C773" s="148"/>
      <c r="D773" s="148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</row>
    <row r="774">
      <c r="A774" s="148"/>
      <c r="B774" s="148"/>
      <c r="C774" s="148"/>
      <c r="D774" s="148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</row>
    <row r="775">
      <c r="A775" s="148"/>
      <c r="B775" s="148"/>
      <c r="C775" s="148"/>
      <c r="D775" s="148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</row>
    <row r="776">
      <c r="A776" s="148"/>
      <c r="B776" s="148"/>
      <c r="C776" s="148"/>
      <c r="D776" s="148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</row>
    <row r="777">
      <c r="A777" s="148"/>
      <c r="B777" s="148"/>
      <c r="C777" s="148"/>
      <c r="D777" s="148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</row>
    <row r="778">
      <c r="A778" s="148"/>
      <c r="B778" s="148"/>
      <c r="C778" s="148"/>
      <c r="D778" s="148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</row>
    <row r="779">
      <c r="A779" s="148"/>
      <c r="B779" s="148"/>
      <c r="C779" s="148"/>
      <c r="D779" s="148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</row>
    <row r="780">
      <c r="A780" s="148"/>
      <c r="B780" s="148"/>
      <c r="C780" s="148"/>
      <c r="D780" s="148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</row>
    <row r="781">
      <c r="A781" s="148"/>
      <c r="B781" s="148"/>
      <c r="C781" s="148"/>
      <c r="D781" s="148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</row>
    <row r="782">
      <c r="A782" s="148"/>
      <c r="B782" s="148"/>
      <c r="C782" s="148"/>
      <c r="D782" s="148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</row>
    <row r="783">
      <c r="A783" s="148"/>
      <c r="B783" s="148"/>
      <c r="C783" s="148"/>
      <c r="D783" s="148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</row>
    <row r="784">
      <c r="A784" s="148"/>
      <c r="B784" s="148"/>
      <c r="C784" s="148"/>
      <c r="D784" s="148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</row>
    <row r="785">
      <c r="A785" s="148"/>
      <c r="B785" s="148"/>
      <c r="C785" s="148"/>
      <c r="D785" s="148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</row>
    <row r="786">
      <c r="A786" s="148"/>
      <c r="B786" s="148"/>
      <c r="C786" s="148"/>
      <c r="D786" s="148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</row>
    <row r="787">
      <c r="A787" s="148"/>
      <c r="B787" s="148"/>
      <c r="C787" s="148"/>
      <c r="D787" s="148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</row>
    <row r="788">
      <c r="A788" s="148"/>
      <c r="B788" s="148"/>
      <c r="C788" s="148"/>
      <c r="D788" s="148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</row>
    <row r="789">
      <c r="A789" s="148"/>
      <c r="B789" s="148"/>
      <c r="C789" s="148"/>
      <c r="D789" s="148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</row>
    <row r="790">
      <c r="A790" s="148"/>
      <c r="B790" s="148"/>
      <c r="C790" s="148"/>
      <c r="D790" s="148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</row>
    <row r="791">
      <c r="A791" s="148"/>
      <c r="B791" s="148"/>
      <c r="C791" s="148"/>
      <c r="D791" s="148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</row>
    <row r="792">
      <c r="A792" s="148"/>
      <c r="B792" s="148"/>
      <c r="C792" s="148"/>
      <c r="D792" s="148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</row>
    <row r="793">
      <c r="A793" s="148"/>
      <c r="B793" s="148"/>
      <c r="C793" s="148"/>
      <c r="D793" s="148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</row>
    <row r="794">
      <c r="A794" s="148"/>
      <c r="B794" s="148"/>
      <c r="C794" s="148"/>
      <c r="D794" s="148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</row>
    <row r="795">
      <c r="A795" s="148"/>
      <c r="B795" s="148"/>
      <c r="C795" s="148"/>
      <c r="D795" s="148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</row>
    <row r="796">
      <c r="A796" s="148"/>
      <c r="B796" s="148"/>
      <c r="C796" s="148"/>
      <c r="D796" s="148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</row>
    <row r="797">
      <c r="A797" s="148"/>
      <c r="B797" s="148"/>
      <c r="C797" s="148"/>
      <c r="D797" s="148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</row>
    <row r="798">
      <c r="A798" s="148"/>
      <c r="B798" s="148"/>
      <c r="C798" s="148"/>
      <c r="D798" s="148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</row>
    <row r="799">
      <c r="A799" s="148"/>
      <c r="B799" s="148"/>
      <c r="C799" s="148"/>
      <c r="D799" s="148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</row>
    <row r="800">
      <c r="A800" s="148"/>
      <c r="B800" s="148"/>
      <c r="C800" s="148"/>
      <c r="D800" s="148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</row>
    <row r="801">
      <c r="A801" s="148"/>
      <c r="B801" s="148"/>
      <c r="C801" s="148"/>
      <c r="D801" s="148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</row>
    <row r="802">
      <c r="A802" s="148"/>
      <c r="B802" s="148"/>
      <c r="C802" s="148"/>
      <c r="D802" s="148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</row>
    <row r="803">
      <c r="A803" s="148"/>
      <c r="B803" s="148"/>
      <c r="C803" s="148"/>
      <c r="D803" s="148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</row>
    <row r="804">
      <c r="A804" s="148"/>
      <c r="B804" s="148"/>
      <c r="C804" s="148"/>
      <c r="D804" s="148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</row>
    <row r="805">
      <c r="A805" s="148"/>
      <c r="B805" s="148"/>
      <c r="C805" s="148"/>
      <c r="D805" s="148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</row>
    <row r="806">
      <c r="A806" s="148"/>
      <c r="B806" s="148"/>
      <c r="C806" s="148"/>
      <c r="D806" s="148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</row>
    <row r="807">
      <c r="A807" s="148"/>
      <c r="B807" s="148"/>
      <c r="C807" s="148"/>
      <c r="D807" s="148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</row>
    <row r="808">
      <c r="A808" s="148"/>
      <c r="B808" s="148"/>
      <c r="C808" s="148"/>
      <c r="D808" s="148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</row>
    <row r="809">
      <c r="A809" s="148"/>
      <c r="B809" s="148"/>
      <c r="C809" s="148"/>
      <c r="D809" s="148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</row>
    <row r="810">
      <c r="A810" s="148"/>
      <c r="B810" s="148"/>
      <c r="C810" s="148"/>
      <c r="D810" s="148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</row>
    <row r="811">
      <c r="A811" s="148"/>
      <c r="B811" s="148"/>
      <c r="C811" s="148"/>
      <c r="D811" s="148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</row>
    <row r="812">
      <c r="A812" s="148"/>
      <c r="B812" s="148"/>
      <c r="C812" s="148"/>
      <c r="D812" s="148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</row>
    <row r="813">
      <c r="A813" s="148"/>
      <c r="B813" s="148"/>
      <c r="C813" s="148"/>
      <c r="D813" s="148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</row>
    <row r="814">
      <c r="A814" s="148"/>
      <c r="B814" s="148"/>
      <c r="C814" s="148"/>
      <c r="D814" s="148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</row>
    <row r="815">
      <c r="A815" s="148"/>
      <c r="B815" s="148"/>
      <c r="C815" s="148"/>
      <c r="D815" s="148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</row>
    <row r="816">
      <c r="A816" s="148"/>
      <c r="B816" s="148"/>
      <c r="C816" s="148"/>
      <c r="D816" s="148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</row>
    <row r="817">
      <c r="A817" s="148"/>
      <c r="B817" s="148"/>
      <c r="C817" s="148"/>
      <c r="D817" s="148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</row>
    <row r="818">
      <c r="A818" s="148"/>
      <c r="B818" s="148"/>
      <c r="C818" s="148"/>
      <c r="D818" s="148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</row>
    <row r="819">
      <c r="A819" s="148"/>
      <c r="B819" s="148"/>
      <c r="C819" s="148"/>
      <c r="D819" s="148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</row>
    <row r="820">
      <c r="A820" s="148"/>
      <c r="B820" s="148"/>
      <c r="C820" s="148"/>
      <c r="D820" s="148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</row>
    <row r="821">
      <c r="A821" s="148"/>
      <c r="B821" s="148"/>
      <c r="C821" s="148"/>
      <c r="D821" s="148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</row>
    <row r="822">
      <c r="A822" s="148"/>
      <c r="B822" s="148"/>
      <c r="C822" s="148"/>
      <c r="D822" s="148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</row>
    <row r="823">
      <c r="A823" s="148"/>
      <c r="B823" s="148"/>
      <c r="C823" s="148"/>
      <c r="D823" s="148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</row>
    <row r="824">
      <c r="A824" s="148"/>
      <c r="B824" s="148"/>
      <c r="C824" s="148"/>
      <c r="D824" s="148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</row>
    <row r="825">
      <c r="A825" s="148"/>
      <c r="B825" s="148"/>
      <c r="C825" s="148"/>
      <c r="D825" s="148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</row>
    <row r="826">
      <c r="A826" s="148"/>
      <c r="B826" s="148"/>
      <c r="C826" s="148"/>
      <c r="D826" s="148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</row>
    <row r="827">
      <c r="A827" s="148"/>
      <c r="B827" s="148"/>
      <c r="C827" s="148"/>
      <c r="D827" s="148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</row>
    <row r="828">
      <c r="A828" s="148"/>
      <c r="B828" s="148"/>
      <c r="C828" s="148"/>
      <c r="D828" s="148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</row>
    <row r="829">
      <c r="A829" s="148"/>
      <c r="B829" s="148"/>
      <c r="C829" s="148"/>
      <c r="D829" s="148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</row>
    <row r="830">
      <c r="A830" s="148"/>
      <c r="B830" s="148"/>
      <c r="C830" s="148"/>
      <c r="D830" s="148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</row>
    <row r="831">
      <c r="A831" s="148"/>
      <c r="B831" s="148"/>
      <c r="C831" s="148"/>
      <c r="D831" s="148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</row>
    <row r="832">
      <c r="A832" s="148"/>
      <c r="B832" s="148"/>
      <c r="C832" s="148"/>
      <c r="D832" s="148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</row>
    <row r="833">
      <c r="A833" s="148"/>
      <c r="B833" s="148"/>
      <c r="C833" s="148"/>
      <c r="D833" s="148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</row>
    <row r="834">
      <c r="A834" s="148"/>
      <c r="B834" s="148"/>
      <c r="C834" s="148"/>
      <c r="D834" s="148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</row>
    <row r="835">
      <c r="A835" s="148"/>
      <c r="B835" s="148"/>
      <c r="C835" s="148"/>
      <c r="D835" s="148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</row>
    <row r="836">
      <c r="A836" s="148"/>
      <c r="B836" s="148"/>
      <c r="C836" s="148"/>
      <c r="D836" s="148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</row>
    <row r="837">
      <c r="A837" s="148"/>
      <c r="B837" s="148"/>
      <c r="C837" s="148"/>
      <c r="D837" s="148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</row>
    <row r="838">
      <c r="A838" s="148"/>
      <c r="B838" s="148"/>
      <c r="C838" s="148"/>
      <c r="D838" s="148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</row>
    <row r="839">
      <c r="A839" s="148"/>
      <c r="B839" s="148"/>
      <c r="C839" s="148"/>
      <c r="D839" s="148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</row>
    <row r="840">
      <c r="A840" s="148"/>
      <c r="B840" s="148"/>
      <c r="C840" s="148"/>
      <c r="D840" s="148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</row>
    <row r="841">
      <c r="A841" s="148"/>
      <c r="B841" s="148"/>
      <c r="C841" s="148"/>
      <c r="D841" s="148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</row>
    <row r="842">
      <c r="A842" s="148"/>
      <c r="B842" s="148"/>
      <c r="C842" s="148"/>
      <c r="D842" s="148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</row>
    <row r="843">
      <c r="A843" s="148"/>
      <c r="B843" s="148"/>
      <c r="C843" s="148"/>
      <c r="D843" s="148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</row>
    <row r="844">
      <c r="A844" s="148"/>
      <c r="B844" s="148"/>
      <c r="C844" s="148"/>
      <c r="D844" s="148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</row>
    <row r="845">
      <c r="A845" s="148"/>
      <c r="B845" s="148"/>
      <c r="C845" s="148"/>
      <c r="D845" s="148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</row>
    <row r="846">
      <c r="A846" s="148"/>
      <c r="B846" s="148"/>
      <c r="C846" s="148"/>
      <c r="D846" s="148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</row>
    <row r="847">
      <c r="A847" s="148"/>
      <c r="B847" s="148"/>
      <c r="C847" s="148"/>
      <c r="D847" s="148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</row>
    <row r="848">
      <c r="A848" s="148"/>
      <c r="B848" s="148"/>
      <c r="C848" s="148"/>
      <c r="D848" s="148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</row>
    <row r="849">
      <c r="A849" s="148"/>
      <c r="B849" s="148"/>
      <c r="C849" s="148"/>
      <c r="D849" s="148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</row>
    <row r="850">
      <c r="A850" s="148"/>
      <c r="B850" s="148"/>
      <c r="C850" s="148"/>
      <c r="D850" s="148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</row>
    <row r="851">
      <c r="A851" s="148"/>
      <c r="B851" s="148"/>
      <c r="C851" s="148"/>
      <c r="D851" s="148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</row>
    <row r="852">
      <c r="A852" s="148"/>
      <c r="B852" s="148"/>
      <c r="C852" s="148"/>
      <c r="D852" s="148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</row>
    <row r="853">
      <c r="A853" s="148"/>
      <c r="B853" s="148"/>
      <c r="C853" s="148"/>
      <c r="D853" s="148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</row>
    <row r="854">
      <c r="A854" s="148"/>
      <c r="B854" s="148"/>
      <c r="C854" s="148"/>
      <c r="D854" s="148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</row>
    <row r="855">
      <c r="A855" s="148"/>
      <c r="B855" s="148"/>
      <c r="C855" s="148"/>
      <c r="D855" s="148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</row>
    <row r="856">
      <c r="A856" s="148"/>
      <c r="B856" s="148"/>
      <c r="C856" s="148"/>
      <c r="D856" s="148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</row>
    <row r="857">
      <c r="A857" s="148"/>
      <c r="B857" s="148"/>
      <c r="C857" s="148"/>
      <c r="D857" s="148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</row>
    <row r="858">
      <c r="A858" s="148"/>
      <c r="B858" s="148"/>
      <c r="C858" s="148"/>
      <c r="D858" s="148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</row>
    <row r="859">
      <c r="A859" s="148"/>
      <c r="B859" s="148"/>
      <c r="C859" s="148"/>
      <c r="D859" s="148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</row>
    <row r="860">
      <c r="A860" s="148"/>
      <c r="B860" s="148"/>
      <c r="C860" s="148"/>
      <c r="D860" s="148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</row>
    <row r="861">
      <c r="A861" s="148"/>
      <c r="B861" s="148"/>
      <c r="C861" s="148"/>
      <c r="D861" s="148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</row>
    <row r="862">
      <c r="A862" s="148"/>
      <c r="B862" s="148"/>
      <c r="C862" s="148"/>
      <c r="D862" s="148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</row>
    <row r="863">
      <c r="A863" s="148"/>
      <c r="B863" s="148"/>
      <c r="C863" s="148"/>
      <c r="D863" s="148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</row>
    <row r="864">
      <c r="A864" s="148"/>
      <c r="B864" s="148"/>
      <c r="C864" s="148"/>
      <c r="D864" s="148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</row>
    <row r="865">
      <c r="A865" s="148"/>
      <c r="B865" s="148"/>
      <c r="C865" s="148"/>
      <c r="D865" s="148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</row>
    <row r="866">
      <c r="A866" s="148"/>
      <c r="B866" s="148"/>
      <c r="C866" s="148"/>
      <c r="D866" s="148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</row>
    <row r="867">
      <c r="A867" s="148"/>
      <c r="B867" s="148"/>
      <c r="C867" s="148"/>
      <c r="D867" s="148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</row>
    <row r="868">
      <c r="A868" s="148"/>
      <c r="B868" s="148"/>
      <c r="C868" s="148"/>
      <c r="D868" s="148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</row>
    <row r="869">
      <c r="A869" s="148"/>
      <c r="B869" s="148"/>
      <c r="C869" s="148"/>
      <c r="D869" s="148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</row>
    <row r="870">
      <c r="A870" s="148"/>
      <c r="B870" s="148"/>
      <c r="C870" s="148"/>
      <c r="D870" s="148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</row>
    <row r="871">
      <c r="A871" s="148"/>
      <c r="B871" s="148"/>
      <c r="C871" s="148"/>
      <c r="D871" s="148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</row>
    <row r="872">
      <c r="A872" s="148"/>
      <c r="B872" s="148"/>
      <c r="C872" s="148"/>
      <c r="D872" s="148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</row>
    <row r="873">
      <c r="A873" s="148"/>
      <c r="B873" s="148"/>
      <c r="C873" s="148"/>
      <c r="D873" s="148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</row>
    <row r="874">
      <c r="A874" s="148"/>
      <c r="B874" s="148"/>
      <c r="C874" s="148"/>
      <c r="D874" s="148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</row>
    <row r="875">
      <c r="A875" s="148"/>
      <c r="B875" s="148"/>
      <c r="C875" s="148"/>
      <c r="D875" s="148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</row>
    <row r="876">
      <c r="A876" s="148"/>
      <c r="B876" s="148"/>
      <c r="C876" s="148"/>
      <c r="D876" s="148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</row>
    <row r="877">
      <c r="A877" s="148"/>
      <c r="B877" s="148"/>
      <c r="C877" s="148"/>
      <c r="D877" s="148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</row>
    <row r="878">
      <c r="A878" s="148"/>
      <c r="B878" s="148"/>
      <c r="C878" s="148"/>
      <c r="D878" s="148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</row>
    <row r="879">
      <c r="A879" s="148"/>
      <c r="B879" s="148"/>
      <c r="C879" s="148"/>
      <c r="D879" s="148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</row>
    <row r="880">
      <c r="A880" s="148"/>
      <c r="B880" s="148"/>
      <c r="C880" s="148"/>
      <c r="D880" s="148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</row>
    <row r="881">
      <c r="A881" s="148"/>
      <c r="B881" s="148"/>
      <c r="C881" s="148"/>
      <c r="D881" s="148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</row>
    <row r="882">
      <c r="A882" s="148"/>
      <c r="B882" s="148"/>
      <c r="C882" s="148"/>
      <c r="D882" s="148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</row>
    <row r="883">
      <c r="A883" s="148"/>
      <c r="B883" s="148"/>
      <c r="C883" s="148"/>
      <c r="D883" s="148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</row>
    <row r="884">
      <c r="A884" s="148"/>
      <c r="B884" s="148"/>
      <c r="C884" s="148"/>
      <c r="D884" s="148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</row>
    <row r="885">
      <c r="A885" s="148"/>
      <c r="B885" s="148"/>
      <c r="C885" s="148"/>
      <c r="D885" s="148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</row>
    <row r="886">
      <c r="A886" s="148"/>
      <c r="B886" s="148"/>
      <c r="C886" s="148"/>
      <c r="D886" s="148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</row>
    <row r="887">
      <c r="A887" s="148"/>
      <c r="B887" s="148"/>
      <c r="C887" s="148"/>
      <c r="D887" s="148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</row>
    <row r="888">
      <c r="A888" s="148"/>
      <c r="B888" s="148"/>
      <c r="C888" s="148"/>
      <c r="D888" s="148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</row>
    <row r="889">
      <c r="A889" s="148"/>
      <c r="B889" s="148"/>
      <c r="C889" s="148"/>
      <c r="D889" s="148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</row>
    <row r="890">
      <c r="A890" s="148"/>
      <c r="B890" s="148"/>
      <c r="C890" s="148"/>
      <c r="D890" s="148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</row>
    <row r="891">
      <c r="A891" s="148"/>
      <c r="B891" s="148"/>
      <c r="C891" s="148"/>
      <c r="D891" s="148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</row>
    <row r="892">
      <c r="A892" s="148"/>
      <c r="B892" s="148"/>
      <c r="C892" s="148"/>
      <c r="D892" s="148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</row>
    <row r="893">
      <c r="A893" s="148"/>
      <c r="B893" s="148"/>
      <c r="C893" s="148"/>
      <c r="D893" s="148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</row>
    <row r="894">
      <c r="A894" s="148"/>
      <c r="B894" s="148"/>
      <c r="C894" s="148"/>
      <c r="D894" s="148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</row>
    <row r="895">
      <c r="A895" s="148"/>
      <c r="B895" s="148"/>
      <c r="C895" s="148"/>
      <c r="D895" s="148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</row>
    <row r="896">
      <c r="A896" s="148"/>
      <c r="B896" s="148"/>
      <c r="C896" s="148"/>
      <c r="D896" s="148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</row>
    <row r="897">
      <c r="A897" s="148"/>
      <c r="B897" s="148"/>
      <c r="C897" s="148"/>
      <c r="D897" s="148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</row>
    <row r="898">
      <c r="A898" s="148"/>
      <c r="B898" s="148"/>
      <c r="C898" s="148"/>
      <c r="D898" s="148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</row>
    <row r="899">
      <c r="A899" s="148"/>
      <c r="B899" s="148"/>
      <c r="C899" s="148"/>
      <c r="D899" s="148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</row>
    <row r="900">
      <c r="A900" s="148"/>
      <c r="B900" s="148"/>
      <c r="C900" s="148"/>
      <c r="D900" s="148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</row>
    <row r="901">
      <c r="A901" s="148"/>
      <c r="B901" s="148"/>
      <c r="C901" s="148"/>
      <c r="D901" s="148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</row>
    <row r="902">
      <c r="A902" s="148"/>
      <c r="B902" s="148"/>
      <c r="C902" s="148"/>
      <c r="D902" s="148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</row>
    <row r="903">
      <c r="A903" s="148"/>
      <c r="B903" s="148"/>
      <c r="C903" s="148"/>
      <c r="D903" s="148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</row>
    <row r="904">
      <c r="A904" s="148"/>
      <c r="B904" s="148"/>
      <c r="C904" s="148"/>
      <c r="D904" s="148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</row>
    <row r="905">
      <c r="A905" s="148"/>
      <c r="B905" s="148"/>
      <c r="C905" s="148"/>
      <c r="D905" s="148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</row>
    <row r="906">
      <c r="A906" s="148"/>
      <c r="B906" s="148"/>
      <c r="C906" s="148"/>
      <c r="D906" s="148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</row>
    <row r="907">
      <c r="A907" s="148"/>
      <c r="B907" s="148"/>
      <c r="C907" s="148"/>
      <c r="D907" s="148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</row>
    <row r="908">
      <c r="A908" s="148"/>
      <c r="B908" s="148"/>
      <c r="C908" s="148"/>
      <c r="D908" s="148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</row>
    <row r="909">
      <c r="A909" s="148"/>
      <c r="B909" s="148"/>
      <c r="C909" s="148"/>
      <c r="D909" s="148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</row>
    <row r="910">
      <c r="A910" s="148"/>
      <c r="B910" s="148"/>
      <c r="C910" s="148"/>
      <c r="D910" s="148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</row>
    <row r="911">
      <c r="A911" s="148"/>
      <c r="B911" s="148"/>
      <c r="C911" s="148"/>
      <c r="D911" s="148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</row>
    <row r="912">
      <c r="A912" s="148"/>
      <c r="B912" s="148"/>
      <c r="C912" s="148"/>
      <c r="D912" s="148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</row>
    <row r="913">
      <c r="A913" s="148"/>
      <c r="B913" s="148"/>
      <c r="C913" s="148"/>
      <c r="D913" s="148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</row>
    <row r="914">
      <c r="A914" s="148"/>
      <c r="B914" s="148"/>
      <c r="C914" s="148"/>
      <c r="D914" s="148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</row>
    <row r="915">
      <c r="A915" s="148"/>
      <c r="B915" s="148"/>
      <c r="C915" s="148"/>
      <c r="D915" s="148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</row>
    <row r="916">
      <c r="A916" s="148"/>
      <c r="B916" s="148"/>
      <c r="C916" s="148"/>
      <c r="D916" s="148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</row>
    <row r="917">
      <c r="A917" s="148"/>
      <c r="B917" s="148"/>
      <c r="C917" s="148"/>
      <c r="D917" s="148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</row>
    <row r="918">
      <c r="A918" s="148"/>
      <c r="B918" s="148"/>
      <c r="C918" s="148"/>
      <c r="D918" s="148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</row>
    <row r="919">
      <c r="A919" s="148"/>
      <c r="B919" s="148"/>
      <c r="C919" s="148"/>
      <c r="D919" s="148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</row>
    <row r="920">
      <c r="A920" s="148"/>
      <c r="B920" s="148"/>
      <c r="C920" s="148"/>
      <c r="D920" s="148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</row>
    <row r="921">
      <c r="A921" s="148"/>
      <c r="B921" s="148"/>
      <c r="C921" s="148"/>
      <c r="D921" s="148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</row>
    <row r="922">
      <c r="A922" s="148"/>
      <c r="B922" s="148"/>
      <c r="C922" s="148"/>
      <c r="D922" s="148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</row>
    <row r="923">
      <c r="A923" s="148"/>
      <c r="B923" s="148"/>
      <c r="C923" s="148"/>
      <c r="D923" s="148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</row>
    <row r="924">
      <c r="A924" s="148"/>
      <c r="B924" s="148"/>
      <c r="C924" s="148"/>
      <c r="D924" s="148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</row>
    <row r="925">
      <c r="A925" s="148"/>
      <c r="B925" s="148"/>
      <c r="C925" s="148"/>
      <c r="D925" s="148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</row>
    <row r="926">
      <c r="A926" s="148"/>
      <c r="B926" s="148"/>
      <c r="C926" s="148"/>
      <c r="D926" s="148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</row>
    <row r="927">
      <c r="A927" s="148"/>
      <c r="B927" s="148"/>
      <c r="C927" s="148"/>
      <c r="D927" s="148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</row>
    <row r="928">
      <c r="A928" s="148"/>
      <c r="B928" s="148"/>
      <c r="C928" s="148"/>
      <c r="D928" s="148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</row>
    <row r="929">
      <c r="A929" s="148"/>
      <c r="B929" s="148"/>
      <c r="C929" s="148"/>
      <c r="D929" s="148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</row>
    <row r="930">
      <c r="A930" s="148"/>
      <c r="B930" s="148"/>
      <c r="C930" s="148"/>
      <c r="D930" s="148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</row>
    <row r="931">
      <c r="A931" s="148"/>
      <c r="B931" s="148"/>
      <c r="C931" s="148"/>
      <c r="D931" s="148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</row>
    <row r="932">
      <c r="A932" s="148"/>
      <c r="B932" s="148"/>
      <c r="C932" s="148"/>
      <c r="D932" s="148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</row>
    <row r="933">
      <c r="A933" s="148"/>
      <c r="B933" s="148"/>
      <c r="C933" s="148"/>
      <c r="D933" s="148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</row>
    <row r="934">
      <c r="A934" s="148"/>
      <c r="B934" s="148"/>
      <c r="C934" s="148"/>
      <c r="D934" s="148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</row>
    <row r="935">
      <c r="A935" s="148"/>
      <c r="B935" s="148"/>
      <c r="C935" s="148"/>
      <c r="D935" s="148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</row>
    <row r="936">
      <c r="A936" s="148"/>
      <c r="B936" s="148"/>
      <c r="C936" s="148"/>
      <c r="D936" s="148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</row>
    <row r="937">
      <c r="A937" s="148"/>
      <c r="B937" s="148"/>
      <c r="C937" s="148"/>
      <c r="D937" s="148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</row>
    <row r="938">
      <c r="A938" s="148"/>
      <c r="B938" s="148"/>
      <c r="C938" s="148"/>
      <c r="D938" s="148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</row>
    <row r="939">
      <c r="A939" s="148"/>
      <c r="B939" s="148"/>
      <c r="C939" s="148"/>
      <c r="D939" s="148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</row>
    <row r="940">
      <c r="A940" s="148"/>
      <c r="B940" s="148"/>
      <c r="C940" s="148"/>
      <c r="D940" s="148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</row>
    <row r="941">
      <c r="A941" s="148"/>
      <c r="B941" s="148"/>
      <c r="C941" s="148"/>
      <c r="D941" s="148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</row>
    <row r="942">
      <c r="A942" s="148"/>
      <c r="B942" s="148"/>
      <c r="C942" s="148"/>
      <c r="D942" s="148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</row>
    <row r="943">
      <c r="A943" s="148"/>
      <c r="B943" s="148"/>
      <c r="C943" s="148"/>
      <c r="D943" s="148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</row>
    <row r="944">
      <c r="A944" s="148"/>
      <c r="B944" s="148"/>
      <c r="C944" s="148"/>
      <c r="D944" s="148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</row>
    <row r="945">
      <c r="A945" s="148"/>
      <c r="B945" s="148"/>
      <c r="C945" s="148"/>
      <c r="D945" s="148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</row>
    <row r="946">
      <c r="A946" s="148"/>
      <c r="B946" s="148"/>
      <c r="C946" s="148"/>
      <c r="D946" s="148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</row>
    <row r="947">
      <c r="A947" s="148"/>
      <c r="B947" s="148"/>
      <c r="C947" s="148"/>
      <c r="D947" s="148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</row>
    <row r="948">
      <c r="A948" s="148"/>
      <c r="B948" s="148"/>
      <c r="C948" s="148"/>
      <c r="D948" s="148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</row>
    <row r="949">
      <c r="A949" s="148"/>
      <c r="B949" s="148"/>
      <c r="C949" s="148"/>
      <c r="D949" s="148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</row>
    <row r="950">
      <c r="A950" s="148"/>
      <c r="B950" s="148"/>
      <c r="C950" s="148"/>
      <c r="D950" s="148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</row>
    <row r="951">
      <c r="A951" s="148"/>
      <c r="B951" s="148"/>
      <c r="C951" s="148"/>
      <c r="D951" s="148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</row>
    <row r="952">
      <c r="A952" s="148"/>
      <c r="B952" s="148"/>
      <c r="C952" s="148"/>
      <c r="D952" s="148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</row>
    <row r="953">
      <c r="A953" s="148"/>
      <c r="B953" s="148"/>
      <c r="C953" s="148"/>
      <c r="D953" s="148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</row>
    <row r="954">
      <c r="A954" s="148"/>
      <c r="B954" s="148"/>
      <c r="C954" s="148"/>
      <c r="D954" s="148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</row>
    <row r="955">
      <c r="A955" s="148"/>
      <c r="B955" s="148"/>
      <c r="C955" s="148"/>
      <c r="D955" s="148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</row>
    <row r="956">
      <c r="A956" s="148"/>
      <c r="B956" s="148"/>
      <c r="C956" s="148"/>
      <c r="D956" s="148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</row>
    <row r="957">
      <c r="A957" s="148"/>
      <c r="B957" s="148"/>
      <c r="C957" s="148"/>
      <c r="D957" s="148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</row>
    <row r="958">
      <c r="A958" s="148"/>
      <c r="B958" s="148"/>
      <c r="C958" s="148"/>
      <c r="D958" s="148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</row>
    <row r="959">
      <c r="A959" s="148"/>
      <c r="B959" s="148"/>
      <c r="C959" s="148"/>
      <c r="D959" s="148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</row>
    <row r="960">
      <c r="A960" s="148"/>
      <c r="B960" s="148"/>
      <c r="C960" s="148"/>
      <c r="D960" s="148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</row>
    <row r="961">
      <c r="A961" s="148"/>
      <c r="B961" s="148"/>
      <c r="C961" s="148"/>
      <c r="D961" s="148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</row>
    <row r="962">
      <c r="A962" s="148"/>
      <c r="B962" s="148"/>
      <c r="C962" s="148"/>
      <c r="D962" s="148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</row>
    <row r="963">
      <c r="A963" s="148"/>
      <c r="B963" s="148"/>
      <c r="C963" s="148"/>
      <c r="D963" s="148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</row>
    <row r="964">
      <c r="A964" s="148"/>
      <c r="B964" s="148"/>
      <c r="C964" s="148"/>
      <c r="D964" s="148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</row>
    <row r="965">
      <c r="A965" s="148"/>
      <c r="B965" s="148"/>
      <c r="C965" s="148"/>
      <c r="D965" s="148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</row>
    <row r="966">
      <c r="A966" s="148"/>
      <c r="B966" s="148"/>
      <c r="C966" s="148"/>
      <c r="D966" s="148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</row>
    <row r="967">
      <c r="A967" s="148"/>
      <c r="B967" s="148"/>
      <c r="C967" s="148"/>
      <c r="D967" s="148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</row>
    <row r="968">
      <c r="A968" s="148"/>
      <c r="B968" s="148"/>
      <c r="C968" s="148"/>
      <c r="D968" s="148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</row>
    <row r="969">
      <c r="A969" s="148"/>
      <c r="B969" s="148"/>
      <c r="C969" s="148"/>
      <c r="D969" s="148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</row>
    <row r="970">
      <c r="A970" s="148"/>
      <c r="B970" s="148"/>
      <c r="C970" s="148"/>
      <c r="D970" s="148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</row>
    <row r="971">
      <c r="A971" s="148"/>
      <c r="B971" s="148"/>
      <c r="C971" s="148"/>
      <c r="D971" s="148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</row>
    <row r="972">
      <c r="A972" s="148"/>
      <c r="B972" s="148"/>
      <c r="C972" s="148"/>
      <c r="D972" s="148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</row>
    <row r="973">
      <c r="A973" s="148"/>
      <c r="B973" s="148"/>
      <c r="C973" s="148"/>
      <c r="D973" s="148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</row>
    <row r="974">
      <c r="A974" s="148"/>
      <c r="B974" s="148"/>
      <c r="C974" s="148"/>
      <c r="D974" s="148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</row>
    <row r="975">
      <c r="A975" s="148"/>
      <c r="B975" s="148"/>
      <c r="C975" s="148"/>
      <c r="D975" s="148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</row>
    <row r="976">
      <c r="A976" s="148"/>
      <c r="B976" s="148"/>
      <c r="C976" s="148"/>
      <c r="D976" s="148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</row>
    <row r="977">
      <c r="A977" s="148"/>
      <c r="B977" s="148"/>
      <c r="C977" s="148"/>
      <c r="D977" s="148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</row>
    <row r="978">
      <c r="A978" s="148"/>
      <c r="B978" s="148"/>
      <c r="C978" s="148"/>
      <c r="D978" s="148"/>
      <c r="E978" s="148"/>
      <c r="F978" s="148"/>
      <c r="G978" s="148"/>
      <c r="H978" s="148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</row>
    <row r="979">
      <c r="A979" s="148"/>
      <c r="B979" s="148"/>
      <c r="C979" s="148"/>
      <c r="D979" s="148"/>
      <c r="E979" s="148"/>
      <c r="F979" s="148"/>
      <c r="G979" s="148"/>
      <c r="H979" s="148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</row>
    <row r="980">
      <c r="A980" s="148"/>
      <c r="B980" s="148"/>
      <c r="C980" s="148"/>
      <c r="D980" s="148"/>
      <c r="E980" s="148"/>
      <c r="F980" s="148"/>
      <c r="G980" s="148"/>
      <c r="H980" s="148"/>
      <c r="I980" s="148"/>
      <c r="J980" s="148"/>
      <c r="K980" s="148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</row>
    <row r="981">
      <c r="A981" s="148"/>
      <c r="B981" s="148"/>
      <c r="C981" s="148"/>
      <c r="D981" s="148"/>
      <c r="E981" s="148"/>
      <c r="F981" s="148"/>
      <c r="G981" s="148"/>
      <c r="H981" s="148"/>
      <c r="I981" s="148"/>
      <c r="J981" s="148"/>
      <c r="K981" s="148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</row>
    <row r="982">
      <c r="A982" s="148"/>
      <c r="B982" s="148"/>
      <c r="C982" s="148"/>
      <c r="D982" s="148"/>
      <c r="E982" s="148"/>
      <c r="F982" s="148"/>
      <c r="G982" s="148"/>
      <c r="H982" s="148"/>
      <c r="I982" s="148"/>
      <c r="J982" s="148"/>
      <c r="K982" s="148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</row>
    <row r="983">
      <c r="A983" s="148"/>
      <c r="B983" s="148"/>
      <c r="C983" s="148"/>
      <c r="D983" s="148"/>
      <c r="E983" s="148"/>
      <c r="F983" s="148"/>
      <c r="G983" s="148"/>
      <c r="H983" s="148"/>
      <c r="I983" s="148"/>
      <c r="J983" s="148"/>
      <c r="K983" s="148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</row>
    <row r="984">
      <c r="A984" s="148"/>
      <c r="B984" s="148"/>
      <c r="C984" s="148"/>
      <c r="D984" s="148"/>
      <c r="E984" s="148"/>
      <c r="F984" s="148"/>
      <c r="G984" s="148"/>
      <c r="H984" s="148"/>
      <c r="I984" s="148"/>
      <c r="J984" s="148"/>
      <c r="K984" s="148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</row>
    <row r="985">
      <c r="A985" s="148"/>
      <c r="B985" s="148"/>
      <c r="C985" s="148"/>
      <c r="D985" s="148"/>
      <c r="E985" s="148"/>
      <c r="F985" s="148"/>
      <c r="G985" s="148"/>
      <c r="H985" s="148"/>
      <c r="I985" s="148"/>
      <c r="J985" s="148"/>
      <c r="K985" s="148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</row>
    <row r="986">
      <c r="A986" s="148"/>
      <c r="B986" s="148"/>
      <c r="C986" s="148"/>
      <c r="D986" s="148"/>
      <c r="E986" s="148"/>
      <c r="F986" s="148"/>
      <c r="G986" s="148"/>
      <c r="H986" s="148"/>
      <c r="I986" s="148"/>
      <c r="J986" s="148"/>
      <c r="K986" s="148"/>
      <c r="L986" s="148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  <c r="Z986" s="148"/>
    </row>
    <row r="987">
      <c r="A987" s="148"/>
      <c r="B987" s="148"/>
      <c r="C987" s="148"/>
      <c r="D987" s="148"/>
      <c r="E987" s="148"/>
      <c r="F987" s="148"/>
      <c r="G987" s="148"/>
      <c r="H987" s="148"/>
      <c r="I987" s="148"/>
      <c r="J987" s="148"/>
      <c r="K987" s="148"/>
      <c r="L987" s="148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  <c r="Z987" s="148"/>
    </row>
    <row r="988">
      <c r="A988" s="148"/>
      <c r="B988" s="148"/>
      <c r="C988" s="148"/>
      <c r="D988" s="148"/>
      <c r="E988" s="148"/>
      <c r="F988" s="148"/>
      <c r="G988" s="148"/>
      <c r="H988" s="148"/>
      <c r="I988" s="148"/>
      <c r="J988" s="148"/>
      <c r="K988" s="148"/>
      <c r="L988" s="148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  <c r="Z988" s="148"/>
    </row>
    <row r="989">
      <c r="A989" s="148"/>
      <c r="B989" s="148"/>
      <c r="C989" s="148"/>
      <c r="D989" s="148"/>
      <c r="E989" s="148"/>
      <c r="F989" s="148"/>
      <c r="G989" s="148"/>
      <c r="H989" s="148"/>
      <c r="I989" s="148"/>
      <c r="J989" s="148"/>
      <c r="K989" s="148"/>
      <c r="L989" s="148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  <c r="Z989" s="148"/>
    </row>
    <row r="990">
      <c r="A990" s="148"/>
      <c r="B990" s="148"/>
      <c r="C990" s="148"/>
      <c r="D990" s="148"/>
      <c r="E990" s="148"/>
      <c r="F990" s="148"/>
      <c r="G990" s="148"/>
      <c r="H990" s="148"/>
      <c r="I990" s="148"/>
      <c r="J990" s="148"/>
      <c r="K990" s="148"/>
      <c r="L990" s="148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  <c r="Z990" s="148"/>
    </row>
    <row r="991">
      <c r="A991" s="148"/>
      <c r="B991" s="148"/>
      <c r="C991" s="148"/>
      <c r="D991" s="148"/>
      <c r="E991" s="148"/>
      <c r="F991" s="148"/>
      <c r="G991" s="148"/>
      <c r="H991" s="148"/>
      <c r="I991" s="148"/>
      <c r="J991" s="148"/>
      <c r="K991" s="148"/>
      <c r="L991" s="148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  <c r="Z991" s="148"/>
    </row>
    <row r="992">
      <c r="A992" s="148"/>
      <c r="B992" s="148"/>
      <c r="C992" s="148"/>
      <c r="D992" s="148"/>
      <c r="E992" s="148"/>
      <c r="F992" s="148"/>
      <c r="G992" s="148"/>
      <c r="H992" s="148"/>
      <c r="I992" s="148"/>
      <c r="J992" s="148"/>
      <c r="K992" s="148"/>
      <c r="L992" s="148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  <c r="Y992" s="148"/>
      <c r="Z992" s="148"/>
    </row>
    <row r="993">
      <c r="A993" s="148"/>
      <c r="B993" s="148"/>
      <c r="C993" s="148"/>
      <c r="D993" s="148"/>
      <c r="E993" s="148"/>
      <c r="F993" s="148"/>
      <c r="G993" s="148"/>
      <c r="H993" s="148"/>
      <c r="I993" s="148"/>
      <c r="J993" s="148"/>
      <c r="K993" s="148"/>
      <c r="L993" s="148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  <c r="Y993" s="148"/>
      <c r="Z993" s="148"/>
    </row>
    <row r="994">
      <c r="A994" s="148"/>
      <c r="B994" s="148"/>
      <c r="C994" s="148"/>
      <c r="D994" s="148"/>
      <c r="E994" s="148"/>
      <c r="F994" s="148"/>
      <c r="G994" s="148"/>
      <c r="H994" s="148"/>
      <c r="I994" s="148"/>
      <c r="J994" s="148"/>
      <c r="K994" s="148"/>
      <c r="L994" s="148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  <c r="Y994" s="148"/>
      <c r="Z994" s="148"/>
    </row>
    <row r="995">
      <c r="A995" s="148"/>
      <c r="B995" s="148"/>
      <c r="C995" s="148"/>
      <c r="D995" s="148"/>
      <c r="E995" s="148"/>
      <c r="F995" s="148"/>
      <c r="G995" s="148"/>
      <c r="H995" s="148"/>
      <c r="I995" s="148"/>
      <c r="J995" s="148"/>
      <c r="K995" s="148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  <c r="Z995" s="148"/>
    </row>
    <row r="996">
      <c r="A996" s="148"/>
      <c r="B996" s="148"/>
      <c r="C996" s="148"/>
      <c r="D996" s="148"/>
      <c r="E996" s="148"/>
      <c r="F996" s="148"/>
      <c r="G996" s="148"/>
      <c r="H996" s="148"/>
      <c r="I996" s="148"/>
      <c r="J996" s="148"/>
      <c r="K996" s="148"/>
      <c r="L996" s="148"/>
      <c r="M996" s="148"/>
      <c r="N996" s="148"/>
      <c r="O996" s="148"/>
      <c r="P996" s="148"/>
      <c r="Q996" s="148"/>
      <c r="R996" s="148"/>
      <c r="S996" s="148"/>
      <c r="T996" s="148"/>
      <c r="U996" s="148"/>
      <c r="V996" s="148"/>
      <c r="W996" s="148"/>
      <c r="X996" s="148"/>
      <c r="Y996" s="148"/>
      <c r="Z996" s="148"/>
    </row>
    <row r="997">
      <c r="A997" s="148"/>
      <c r="B997" s="148"/>
      <c r="C997" s="148"/>
      <c r="D997" s="148"/>
      <c r="E997" s="148"/>
      <c r="F997" s="148"/>
      <c r="G997" s="148"/>
      <c r="H997" s="148"/>
      <c r="I997" s="148"/>
      <c r="J997" s="148"/>
      <c r="K997" s="148"/>
      <c r="L997" s="148"/>
      <c r="M997" s="148"/>
      <c r="N997" s="148"/>
      <c r="O997" s="148"/>
      <c r="P997" s="148"/>
      <c r="Q997" s="148"/>
      <c r="R997" s="148"/>
      <c r="S997" s="148"/>
      <c r="T997" s="148"/>
      <c r="U997" s="148"/>
      <c r="V997" s="148"/>
      <c r="W997" s="148"/>
      <c r="X997" s="148"/>
      <c r="Y997" s="148"/>
      <c r="Z997" s="148"/>
    </row>
    <row r="998">
      <c r="A998" s="148"/>
      <c r="B998" s="148"/>
      <c r="C998" s="148"/>
      <c r="D998" s="148"/>
      <c r="E998" s="148"/>
      <c r="F998" s="148"/>
      <c r="G998" s="148"/>
      <c r="H998" s="148"/>
      <c r="I998" s="148"/>
      <c r="J998" s="148"/>
      <c r="K998" s="148"/>
      <c r="L998" s="148"/>
      <c r="M998" s="148"/>
      <c r="N998" s="148"/>
      <c r="O998" s="148"/>
      <c r="P998" s="148"/>
      <c r="Q998" s="148"/>
      <c r="R998" s="148"/>
      <c r="S998" s="148"/>
      <c r="T998" s="148"/>
      <c r="U998" s="148"/>
      <c r="V998" s="148"/>
      <c r="W998" s="148"/>
      <c r="X998" s="148"/>
      <c r="Y998" s="148"/>
      <c r="Z998" s="148"/>
    </row>
    <row r="999">
      <c r="A999" s="148"/>
      <c r="B999" s="148"/>
      <c r="C999" s="148"/>
      <c r="D999" s="148"/>
      <c r="E999" s="148"/>
      <c r="F999" s="148"/>
      <c r="G999" s="148"/>
      <c r="H999" s="148"/>
      <c r="I999" s="148"/>
      <c r="J999" s="148"/>
      <c r="K999" s="148"/>
      <c r="L999" s="148"/>
      <c r="M999" s="148"/>
      <c r="N999" s="148"/>
      <c r="O999" s="148"/>
      <c r="P999" s="148"/>
      <c r="Q999" s="148"/>
      <c r="R999" s="148"/>
      <c r="S999" s="148"/>
      <c r="T999" s="148"/>
      <c r="U999" s="148"/>
      <c r="V999" s="148"/>
      <c r="W999" s="148"/>
      <c r="X999" s="148"/>
      <c r="Y999" s="148"/>
      <c r="Z999" s="148"/>
    </row>
    <row r="1000">
      <c r="A1000" s="148"/>
      <c r="B1000" s="148"/>
      <c r="C1000" s="148"/>
      <c r="D1000" s="148"/>
      <c r="E1000" s="148"/>
      <c r="F1000" s="148"/>
      <c r="G1000" s="148"/>
      <c r="H1000" s="148"/>
      <c r="I1000" s="148"/>
      <c r="J1000" s="148"/>
      <c r="K1000" s="148"/>
      <c r="L1000" s="148"/>
      <c r="M1000" s="148"/>
      <c r="N1000" s="148"/>
      <c r="O1000" s="148"/>
      <c r="P1000" s="148"/>
      <c r="Q1000" s="148"/>
      <c r="R1000" s="148"/>
      <c r="S1000" s="148"/>
      <c r="T1000" s="148"/>
      <c r="U1000" s="148"/>
      <c r="V1000" s="148"/>
      <c r="W1000" s="148"/>
      <c r="X1000" s="148"/>
      <c r="Y1000" s="148"/>
      <c r="Z1000" s="148"/>
    </row>
    <row r="1001">
      <c r="A1001" s="148"/>
      <c r="B1001" s="148"/>
      <c r="C1001" s="148"/>
      <c r="D1001" s="148"/>
      <c r="E1001" s="148"/>
      <c r="F1001" s="148"/>
      <c r="G1001" s="148"/>
      <c r="H1001" s="148"/>
      <c r="I1001" s="148"/>
      <c r="J1001" s="148"/>
      <c r="K1001" s="148"/>
      <c r="L1001" s="148"/>
      <c r="M1001" s="148"/>
      <c r="N1001" s="148"/>
      <c r="O1001" s="148"/>
      <c r="P1001" s="148"/>
      <c r="Q1001" s="148"/>
      <c r="R1001" s="148"/>
      <c r="S1001" s="148"/>
      <c r="T1001" s="148"/>
      <c r="U1001" s="148"/>
      <c r="V1001" s="148"/>
      <c r="W1001" s="148"/>
      <c r="X1001" s="148"/>
      <c r="Y1001" s="148"/>
      <c r="Z1001" s="148"/>
    </row>
    <row r="1002">
      <c r="A1002" s="148"/>
      <c r="B1002" s="148"/>
      <c r="C1002" s="148"/>
      <c r="D1002" s="148"/>
      <c r="E1002" s="148"/>
      <c r="F1002" s="148"/>
      <c r="G1002" s="148"/>
      <c r="H1002" s="148"/>
      <c r="I1002" s="148"/>
      <c r="J1002" s="148"/>
      <c r="K1002" s="148"/>
      <c r="L1002" s="148"/>
      <c r="M1002" s="148"/>
      <c r="N1002" s="148"/>
      <c r="O1002" s="148"/>
      <c r="P1002" s="148"/>
      <c r="Q1002" s="148"/>
      <c r="R1002" s="148"/>
      <c r="S1002" s="148"/>
      <c r="T1002" s="148"/>
      <c r="U1002" s="148"/>
      <c r="V1002" s="148"/>
      <c r="W1002" s="148"/>
      <c r="X1002" s="148"/>
      <c r="Y1002" s="148"/>
      <c r="Z1002" s="148"/>
    </row>
    <row r="1003">
      <c r="A1003" s="148"/>
      <c r="B1003" s="148"/>
      <c r="C1003" s="148"/>
      <c r="D1003" s="148"/>
      <c r="E1003" s="148"/>
      <c r="F1003" s="148"/>
      <c r="G1003" s="148"/>
      <c r="H1003" s="148"/>
      <c r="I1003" s="148"/>
      <c r="J1003" s="148"/>
      <c r="K1003" s="148"/>
      <c r="L1003" s="148"/>
      <c r="M1003" s="148"/>
      <c r="N1003" s="148"/>
      <c r="O1003" s="148"/>
      <c r="P1003" s="148"/>
      <c r="Q1003" s="148"/>
      <c r="R1003" s="148"/>
      <c r="S1003" s="148"/>
      <c r="T1003" s="148"/>
      <c r="U1003" s="148"/>
      <c r="V1003" s="148"/>
      <c r="W1003" s="148"/>
      <c r="X1003" s="148"/>
      <c r="Y1003" s="148"/>
      <c r="Z1003" s="148"/>
    </row>
    <row r="1004">
      <c r="A1004" s="148"/>
      <c r="B1004" s="148"/>
      <c r="C1004" s="148"/>
      <c r="D1004" s="148"/>
      <c r="E1004" s="148"/>
      <c r="F1004" s="148"/>
      <c r="G1004" s="148"/>
      <c r="H1004" s="148"/>
      <c r="I1004" s="148"/>
      <c r="J1004" s="148"/>
      <c r="K1004" s="148"/>
      <c r="L1004" s="148"/>
      <c r="M1004" s="148"/>
      <c r="N1004" s="148"/>
      <c r="O1004" s="148"/>
      <c r="P1004" s="148"/>
      <c r="Q1004" s="148"/>
      <c r="R1004" s="148"/>
      <c r="S1004" s="148"/>
      <c r="T1004" s="148"/>
      <c r="U1004" s="148"/>
      <c r="V1004" s="148"/>
      <c r="W1004" s="148"/>
      <c r="X1004" s="148"/>
      <c r="Y1004" s="148"/>
      <c r="Z1004" s="148"/>
    </row>
    <row r="1005">
      <c r="A1005" s="148"/>
      <c r="B1005" s="148"/>
      <c r="C1005" s="148"/>
      <c r="D1005" s="148"/>
      <c r="E1005" s="148"/>
      <c r="F1005" s="148"/>
      <c r="G1005" s="148"/>
      <c r="H1005" s="148"/>
      <c r="I1005" s="148"/>
      <c r="J1005" s="148"/>
      <c r="K1005" s="148"/>
      <c r="L1005" s="148"/>
      <c r="M1005" s="148"/>
      <c r="N1005" s="148"/>
      <c r="O1005" s="148"/>
      <c r="P1005" s="148"/>
      <c r="Q1005" s="148"/>
      <c r="R1005" s="148"/>
      <c r="S1005" s="148"/>
      <c r="T1005" s="148"/>
      <c r="U1005" s="148"/>
      <c r="V1005" s="148"/>
      <c r="W1005" s="148"/>
      <c r="X1005" s="148"/>
      <c r="Y1005" s="148"/>
      <c r="Z1005" s="148"/>
    </row>
    <row r="1006">
      <c r="A1006" s="148"/>
      <c r="B1006" s="148"/>
      <c r="C1006" s="148"/>
      <c r="D1006" s="148"/>
      <c r="E1006" s="148"/>
      <c r="F1006" s="148"/>
      <c r="G1006" s="148"/>
      <c r="H1006" s="148"/>
      <c r="I1006" s="148"/>
      <c r="J1006" s="148"/>
      <c r="K1006" s="148"/>
      <c r="L1006" s="148"/>
      <c r="M1006" s="148"/>
      <c r="N1006" s="148"/>
      <c r="O1006" s="148"/>
      <c r="P1006" s="148"/>
      <c r="Q1006" s="148"/>
      <c r="R1006" s="148"/>
      <c r="S1006" s="148"/>
      <c r="T1006" s="148"/>
      <c r="U1006" s="148"/>
      <c r="V1006" s="148"/>
      <c r="W1006" s="148"/>
      <c r="X1006" s="148"/>
      <c r="Y1006" s="148"/>
      <c r="Z1006" s="148"/>
    </row>
    <row r="1007">
      <c r="A1007" s="148"/>
      <c r="B1007" s="148"/>
      <c r="C1007" s="148"/>
      <c r="D1007" s="148"/>
      <c r="E1007" s="148"/>
      <c r="F1007" s="148"/>
      <c r="G1007" s="148"/>
      <c r="H1007" s="148"/>
      <c r="I1007" s="148"/>
      <c r="J1007" s="148"/>
      <c r="K1007" s="148"/>
      <c r="L1007" s="148"/>
      <c r="M1007" s="148"/>
      <c r="N1007" s="148"/>
      <c r="O1007" s="148"/>
      <c r="P1007" s="148"/>
      <c r="Q1007" s="148"/>
      <c r="R1007" s="148"/>
      <c r="S1007" s="148"/>
      <c r="T1007" s="148"/>
      <c r="U1007" s="148"/>
      <c r="V1007" s="148"/>
      <c r="W1007" s="148"/>
      <c r="X1007" s="148"/>
      <c r="Y1007" s="148"/>
      <c r="Z1007" s="148"/>
    </row>
    <row r="1008">
      <c r="A1008" s="148"/>
      <c r="B1008" s="148"/>
      <c r="C1008" s="148"/>
      <c r="D1008" s="148"/>
      <c r="E1008" s="148"/>
      <c r="F1008" s="148"/>
      <c r="G1008" s="148"/>
      <c r="H1008" s="148"/>
      <c r="I1008" s="148"/>
      <c r="J1008" s="148"/>
      <c r="K1008" s="148"/>
      <c r="L1008" s="148"/>
      <c r="M1008" s="148"/>
      <c r="N1008" s="148"/>
      <c r="O1008" s="148"/>
      <c r="P1008" s="148"/>
      <c r="Q1008" s="148"/>
      <c r="R1008" s="148"/>
      <c r="S1008" s="148"/>
      <c r="T1008" s="148"/>
      <c r="U1008" s="148"/>
      <c r="V1008" s="148"/>
      <c r="W1008" s="148"/>
      <c r="X1008" s="148"/>
      <c r="Y1008" s="148"/>
      <c r="Z1008" s="148"/>
    </row>
    <row r="1009">
      <c r="A1009" s="148"/>
      <c r="B1009" s="148"/>
      <c r="C1009" s="148"/>
      <c r="D1009" s="148"/>
      <c r="E1009" s="148"/>
      <c r="F1009" s="148"/>
      <c r="G1009" s="148"/>
      <c r="H1009" s="148"/>
      <c r="I1009" s="148"/>
      <c r="J1009" s="148"/>
      <c r="K1009" s="148"/>
      <c r="L1009" s="148"/>
      <c r="M1009" s="148"/>
      <c r="N1009" s="148"/>
      <c r="O1009" s="148"/>
      <c r="P1009" s="148"/>
      <c r="Q1009" s="148"/>
      <c r="R1009" s="148"/>
      <c r="S1009" s="148"/>
      <c r="T1009" s="148"/>
      <c r="U1009" s="148"/>
      <c r="V1009" s="148"/>
      <c r="W1009" s="148"/>
      <c r="X1009" s="148"/>
      <c r="Y1009" s="148"/>
      <c r="Z1009" s="148"/>
    </row>
    <row r="1010">
      <c r="A1010" s="148"/>
      <c r="B1010" s="148"/>
      <c r="C1010" s="148"/>
      <c r="D1010" s="148"/>
      <c r="E1010" s="148"/>
      <c r="F1010" s="148"/>
      <c r="G1010" s="148"/>
      <c r="H1010" s="148"/>
      <c r="I1010" s="148"/>
      <c r="J1010" s="148"/>
      <c r="K1010" s="148"/>
      <c r="L1010" s="148"/>
      <c r="M1010" s="148"/>
      <c r="N1010" s="148"/>
      <c r="O1010" s="148"/>
      <c r="P1010" s="148"/>
      <c r="Q1010" s="148"/>
      <c r="R1010" s="148"/>
      <c r="S1010" s="148"/>
      <c r="T1010" s="148"/>
      <c r="U1010" s="148"/>
      <c r="V1010" s="148"/>
      <c r="W1010" s="148"/>
      <c r="X1010" s="148"/>
      <c r="Y1010" s="148"/>
      <c r="Z1010" s="148"/>
    </row>
    <row r="1011">
      <c r="A1011" s="148"/>
      <c r="B1011" s="148"/>
      <c r="C1011" s="148"/>
      <c r="D1011" s="148"/>
      <c r="E1011" s="148"/>
      <c r="F1011" s="148"/>
      <c r="G1011" s="148"/>
      <c r="H1011" s="148"/>
      <c r="I1011" s="148"/>
      <c r="J1011" s="148"/>
      <c r="K1011" s="148"/>
      <c r="L1011" s="148"/>
      <c r="M1011" s="148"/>
      <c r="N1011" s="148"/>
      <c r="O1011" s="148"/>
      <c r="P1011" s="148"/>
      <c r="Q1011" s="148"/>
      <c r="R1011" s="148"/>
      <c r="S1011" s="148"/>
      <c r="T1011" s="148"/>
      <c r="U1011" s="148"/>
      <c r="V1011" s="148"/>
      <c r="W1011" s="148"/>
      <c r="X1011" s="148"/>
      <c r="Y1011" s="148"/>
      <c r="Z1011" s="148"/>
    </row>
    <row r="1012">
      <c r="A1012" s="148"/>
      <c r="B1012" s="148"/>
      <c r="C1012" s="148"/>
      <c r="D1012" s="148"/>
      <c r="E1012" s="148"/>
      <c r="F1012" s="148"/>
      <c r="G1012" s="148"/>
      <c r="H1012" s="148"/>
      <c r="I1012" s="148"/>
      <c r="J1012" s="148"/>
      <c r="K1012" s="148"/>
      <c r="L1012" s="148"/>
      <c r="M1012" s="148"/>
      <c r="N1012" s="148"/>
      <c r="O1012" s="148"/>
      <c r="P1012" s="148"/>
      <c r="Q1012" s="148"/>
      <c r="R1012" s="148"/>
      <c r="S1012" s="148"/>
      <c r="T1012" s="148"/>
      <c r="U1012" s="148"/>
      <c r="V1012" s="148"/>
      <c r="W1012" s="148"/>
      <c r="X1012" s="148"/>
      <c r="Y1012" s="148"/>
      <c r="Z1012" s="148"/>
    </row>
    <row r="1013">
      <c r="A1013" s="148"/>
      <c r="B1013" s="148"/>
      <c r="C1013" s="148"/>
      <c r="D1013" s="148"/>
      <c r="E1013" s="148"/>
      <c r="F1013" s="148"/>
      <c r="G1013" s="148"/>
      <c r="H1013" s="148"/>
      <c r="I1013" s="148"/>
      <c r="J1013" s="148"/>
      <c r="K1013" s="148"/>
      <c r="L1013" s="148"/>
      <c r="M1013" s="148"/>
      <c r="N1013" s="148"/>
      <c r="O1013" s="148"/>
      <c r="P1013" s="148"/>
      <c r="Q1013" s="148"/>
      <c r="R1013" s="148"/>
      <c r="S1013" s="148"/>
      <c r="T1013" s="148"/>
      <c r="U1013" s="148"/>
      <c r="V1013" s="148"/>
      <c r="W1013" s="148"/>
      <c r="X1013" s="148"/>
      <c r="Y1013" s="148"/>
      <c r="Z1013" s="148"/>
    </row>
    <row r="1014">
      <c r="A1014" s="148"/>
      <c r="B1014" s="148"/>
      <c r="C1014" s="148"/>
      <c r="D1014" s="148"/>
      <c r="E1014" s="148"/>
      <c r="F1014" s="148"/>
      <c r="G1014" s="148"/>
      <c r="H1014" s="148"/>
      <c r="I1014" s="148"/>
      <c r="J1014" s="148"/>
      <c r="K1014" s="148"/>
      <c r="L1014" s="148"/>
      <c r="M1014" s="148"/>
      <c r="N1014" s="148"/>
      <c r="O1014" s="148"/>
      <c r="P1014" s="148"/>
      <c r="Q1014" s="148"/>
      <c r="R1014" s="148"/>
      <c r="S1014" s="148"/>
      <c r="T1014" s="148"/>
      <c r="U1014" s="148"/>
      <c r="V1014" s="148"/>
      <c r="W1014" s="148"/>
      <c r="X1014" s="148"/>
      <c r="Y1014" s="148"/>
      <c r="Z1014" s="148"/>
    </row>
  </sheetData>
  <drawing r:id="rId1"/>
</worksheet>
</file>